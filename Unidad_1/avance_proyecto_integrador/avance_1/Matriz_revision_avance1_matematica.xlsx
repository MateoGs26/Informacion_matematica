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Guillermo Chuncho\Documents\analisisCiencia\ciclo_septiembre_febrero2027\Matematica_2026\Informacion_matematica\Unidad_1\avance_proyecto_integrador\avance_1\"/>
    </mc:Choice>
  </mc:AlternateContent>
  <xr:revisionPtr revIDLastSave="0" documentId="13_ncr:1_{706C4FEE-144C-4198-A8A8-E87F438FC18E}" xr6:coauthVersionLast="45" xr6:coauthVersionMax="45" xr10:uidLastSave="{00000000-0000-0000-0000-000000000000}"/>
  <bookViews>
    <workbookView xWindow="-120" yWindow="-120" windowWidth="29040" windowHeight="15720" activeTab="9" xr2:uid="{00000000-000D-0000-FFFF-FFFF00000000}"/>
  </bookViews>
  <sheets>
    <sheet name="Resumen" sheetId="1" r:id="rId1"/>
    <sheet name="Matriz consolidada" sheetId="2" r:id="rId2"/>
    <sheet name="Grupo 1" sheetId="3" r:id="rId3"/>
    <sheet name="Grupo 2" sheetId="4" r:id="rId4"/>
    <sheet name="Grupo 3" sheetId="5" r:id="rId5"/>
    <sheet name="Grupo 4" sheetId="6" r:id="rId6"/>
    <sheet name="Grupo 5" sheetId="7" r:id="rId7"/>
    <sheet name="Grupo 6" sheetId="8" r:id="rId8"/>
    <sheet name="Grupo 7" sheetId="9" r:id="rId9"/>
    <sheet name="Criterios de revisión" sheetId="10" r:id="rId10"/>
  </sheets>
  <definedNames>
    <definedName name="_xlnm._FilterDatabase" localSheetId="1" hidden="1">'Matriz consolidada'!$A$4:$J$47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1" i="1" l="1"/>
  <c r="C9" i="9" s="1"/>
  <c r="N10" i="1"/>
  <c r="C41" i="2" s="1"/>
  <c r="N9" i="1"/>
  <c r="C36" i="2" s="1"/>
  <c r="N8" i="1"/>
  <c r="C9" i="6" s="1"/>
  <c r="N7" i="1"/>
  <c r="C16" i="2" s="1"/>
  <c r="N6" i="1"/>
  <c r="C15" i="2" s="1"/>
  <c r="N5" i="1"/>
  <c r="O5" i="1" s="1"/>
  <c r="C10" i="3" s="1"/>
  <c r="C42" i="2" l="1"/>
  <c r="C9" i="2"/>
  <c r="C29" i="2"/>
  <c r="C10" i="2"/>
  <c r="C30" i="2"/>
  <c r="C31" i="2"/>
  <c r="C12" i="2"/>
  <c r="O6" i="1"/>
  <c r="C10" i="4" s="1"/>
  <c r="C43" i="2"/>
  <c r="C44" i="2"/>
  <c r="C17" i="2"/>
  <c r="C37" i="2"/>
  <c r="O8" i="1"/>
  <c r="C10" i="6" s="1"/>
  <c r="C18" i="2"/>
  <c r="C38" i="2"/>
  <c r="O9" i="1"/>
  <c r="C10" i="7" s="1"/>
  <c r="C20" i="2"/>
  <c r="C40" i="2"/>
  <c r="C21" i="2"/>
  <c r="O10" i="1"/>
  <c r="C10" i="8" s="1"/>
  <c r="C22" i="2"/>
  <c r="O11" i="1"/>
  <c r="C10" i="9" s="1"/>
  <c r="C5" i="2"/>
  <c r="C25" i="2"/>
  <c r="C45" i="2"/>
  <c r="C46" i="2"/>
  <c r="C23" i="2"/>
  <c r="C24" i="2"/>
  <c r="C6" i="2"/>
  <c r="C26" i="2"/>
  <c r="C7" i="2"/>
  <c r="C27" i="2"/>
  <c r="C47" i="2"/>
  <c r="C8" i="2"/>
  <c r="C28" i="2"/>
  <c r="C9" i="3"/>
  <c r="C9" i="4"/>
  <c r="C9" i="5"/>
  <c r="C13" i="2"/>
  <c r="C33" i="2"/>
  <c r="C11" i="2"/>
  <c r="C32" i="2"/>
  <c r="C14" i="2"/>
  <c r="C34" i="2"/>
  <c r="C9" i="7"/>
  <c r="C9" i="8"/>
  <c r="C19" i="2"/>
  <c r="C39" i="2"/>
  <c r="C35" i="2"/>
  <c r="O7" i="1"/>
  <c r="C10" i="5" s="1"/>
</calcChain>
</file>

<file path=xl/sharedStrings.xml><?xml version="1.0" encoding="utf-8"?>
<sst xmlns="http://schemas.openxmlformats.org/spreadsheetml/2006/main" count="822" uniqueCount="285">
  <si>
    <t>Matriz de revisión del Avance 1 – Proyecto Integrador Matemática II</t>
  </si>
  <si>
    <t>Revisión por pares con criterio de revista Q1 de la problemática, pregunta de investigación, hipótesis y objetivos. Fecha de revisión: 16-oct-2026. Revisor: Ing. Guillermo Chuncho. Nómina: Grupos/Grupos_matematica.xlsx; asignación de tema y zona: guía general del proyecto integrador (Cuadro 1). Datos verificados contra las bases de Unidad_1/base_de_datos.</t>
  </si>
  <si>
    <t>Grupo</t>
  </si>
  <si>
    <t>Integrantes</t>
  </si>
  <si>
    <t>Tema y zona oficial</t>
  </si>
  <si>
    <t>Declarado en el informe</t>
  </si>
  <si>
    <t>Archivo revisado</t>
  </si>
  <si>
    <t>Problemática</t>
  </si>
  <si>
    <t>Pts. (/2,5)</t>
  </si>
  <si>
    <t>Pregunta</t>
  </si>
  <si>
    <t>Hipótesis</t>
  </si>
  <si>
    <t>Objetivos</t>
  </si>
  <si>
    <t>Calificación (/10)</t>
  </si>
  <si>
    <t>Equivalencia Fase 1 (/0,30)</t>
  </si>
  <si>
    <t>Dictamen</t>
  </si>
  <si>
    <t>N.º obs. (Crít./May./Men.)</t>
  </si>
  <si>
    <t>Prioridades para el Avance 2</t>
  </si>
  <si>
    <t>Jhanine Fernanda Toledo Merino
Mayerly Stefanny Moreno Vera
Mateo Joel Gonzalez Samaniego
Dulce Isabel Barreto Zapata</t>
  </si>
  <si>
    <t>Relieve y accesibilidad – Zona Norte (Grupo_01_Relieve_Norte.csv)</t>
  </si>
  <si>
    <t>—</t>
  </si>
  <si>
    <t>No se encontró entrega en la carpeta avance_1</t>
  </si>
  <si>
    <t>No presentado</t>
  </si>
  <si>
    <t>Sin entrega</t>
  </si>
  <si>
    <t>1/0/0</t>
  </si>
  <si>
    <t>Entregar en el Avance 2 la formulación completa (problema, pregunta, hipótesis, objetivos) junto con los componentes propios del Avance 2.</t>
  </si>
  <si>
    <t>Yanira Maily Rojas Vega
Sonia Noemi Rodriguez Jaramillo
Carlos Daniel Gonzalez Castillo
Diana Patricia Cardenas Campoverde</t>
  </si>
  <si>
    <t>Relieve y accesibilidad – Zona Sur (Grupo_02_Relieve_Sur.csv)</t>
  </si>
  <si>
    <t>«Equipo N.º 1» – Relieve, Zona Norte</t>
  </si>
  <si>
    <t>Proyecto_de_integracion_grupo_1_Matematicas (1).pdf</t>
  </si>
  <si>
    <t>Revisión mayor</t>
  </si>
  <si>
    <t>Reformular</t>
  </si>
  <si>
    <t>1/7/1</t>
  </si>
  <si>
    <t>1) Confirmar grupo, zona y base. 2) Reescribir pregunta, hipótesis y objetivos en clave de cálculo integral (perfil de elevación de un transecto). 3) Eliminar lo que la base no mide (inundaciones, recarga hídrica, rutas reales).</t>
  </si>
  <si>
    <t>John David Jimenez Troya
Isidro Francisco Chamba Mendoza
Andy Alcides Aguilar Arteaga
Giorgi Michael Chamba Sanchez
Kevin Josue Jimenez Macau</t>
  </si>
  <si>
    <t>Cobertura vegetal y uso del suelo – Zona Norte (Grupo_03_Cobertura_Norte.csv)</t>
  </si>
  <si>
    <t>«Equipo N.º 2» – Relieve, Zona Sur</t>
  </si>
  <si>
    <t>Avance_Proyecto_Matematicas_Grupo2 (1).pdf</t>
  </si>
  <si>
    <t>3/4/1</t>
  </si>
  <si>
    <t>1) Confirmar grupo, tema y base. 2) Abandonar la «variación mensual de la pendiente» (variable estática: vale 0). 3) Reconstruir la formulación desde el OE3 (integral del perfil de un transecto) o desde el tema oficial.</t>
  </si>
  <si>
    <t>Barbara Salome Saritama Maldonado
Yulian Jeraldine Guaman Aguirre
Kristel Pauleth Cevallos Azanza
Ana Gabriela Medina Yaguana</t>
  </si>
  <si>
    <t>Cobertura vegetal y uso del suelo – Zona Sur (Grupo_04_Cobertura_Sur.csv)</t>
  </si>
  <si>
    <t>«Equipo N.º 4» – Cobertura vegetal, Zona Sur (coincide)</t>
  </si>
  <si>
    <t>Relieve_y_Accesibilidad_Territorial__Sur_ (1) (2).pdf</t>
  </si>
  <si>
    <t>Revisión menor</t>
  </si>
  <si>
    <t>2/3/2</t>
  </si>
  <si>
    <t>1) Distinguir A(t) (NDVI observado) de r(t) (tasa). 2) Declarar y tratar los NDVI faltantes (ninguna celda tiene 72 meses). 3) Convertir la hipótesis en una afirmación ambiental con umbral justificado.</t>
  </si>
  <si>
    <t>Shislayne Azucena Chalan Jumbo
Yurixi Maribel Riofrio Medina
Jamileth Stefania Galvez Cornejo
Ibelia Araceli Japon Caillagua
Nelson Sebastian Pullaguari Cuenca</t>
  </si>
  <si>
    <t>Clima y condiciones atmosféricas – Zona Norte (Grupo_05_Clima_Norte.csv)</t>
  </si>
  <si>
    <t>«Equipo N.º 5» – Clima, Zona Norte (coincide)</t>
  </si>
  <si>
    <t>informe_parte1-1.pdf  e  informe_parte_matemática 2.pdf (idénticos)</t>
  </si>
  <si>
    <t>1/6/0</t>
  </si>
  <si>
    <t>1) Corregir el uso del TFC (H(t₂) − H(t₁), no «valores extremos»). 2) Reescribir la hipótesis: la suma mensual ya es la integral exacta. 3) Redacción técnica y completar las secciones de plantilla.</t>
  </si>
  <si>
    <t>Sara Lissette Criollo Montalvan
Lady Lissethe Medina Gualan
Lisseth Alexandra Salazar Valdiviezo
Alejandra Nicole Verdesoto Ortiz
Lisbeth Liliana Sandoval Mendoza</t>
  </si>
  <si>
    <t>Clima y condiciones atmosféricas – Zona Sur (Grupo_06_Clima_Sur.csv)</t>
  </si>
  <si>
    <t>«Equipo 6» – Clima, Zona Sur (coincide)</t>
  </si>
  <si>
    <t>Avance1_proyecto_integrador_Matematica2_Equipo6.pdf</t>
  </si>
  <si>
    <t>Rechazo y reenvío</t>
  </si>
  <si>
    <t>4/2/1</t>
  </si>
  <si>
    <t>1) Redactar problemática, justificación, hipótesis y objetivos (no se entregaron). 2) Dejar una sola pregunta (volumen pluvial); la fuerza hidrostática es de la Unidad 3. 3) Corregir la notación P, p(t), H(t).</t>
  </si>
  <si>
    <t>Adrian Saul Aguilar Franco
Diana Carolina Llivisaca Montoya
Jhonny Francisco Narvaez Macas
Jorge Isai Landacay Hidalgo
Carlos Daniel Cajamarca Gordillo</t>
  </si>
  <si>
    <t>Incendios forestales y riesgo – Cantón completo (Grupo_07_Incendios_Loja.xlsx)</t>
  </si>
  <si>
    <t>Calificación: cada elemento se puntúa sobre 2,5 (ver hoja «Criterios de revisión»). Calificación = suma de los cuatro puntajes (/10). Equivalencia en la Fase 1 = calificación × 0,03 (máx. 0,30 pts). Si se modifica un puntaje en esta hoja, la calificación se actualiza en todas las hojas.</t>
  </si>
  <si>
    <t>Escala de dictamen</t>
  </si>
  <si>
    <t>Adecuado</t>
  </si>
  <si>
    <t>Cumple; solo ajustes de estilo.</t>
  </si>
  <si>
    <t>Correcciones puntuales que no alteran el planteamiento.</t>
  </si>
  <si>
    <t>Requiere reformular uno o más elementos; el proyecto es viable.</t>
  </si>
  <si>
    <t>El elemento no es válido o no es respondible con la base; debe rehacerse.</t>
  </si>
  <si>
    <t>El elemento no aparece en el documento.</t>
  </si>
  <si>
    <t>Faltan componentes esenciales; reenviar completo en el Avance 2.</t>
  </si>
  <si>
    <t>No se encontró documento del grupo.</t>
  </si>
  <si>
    <t>Matriz consolidada de observaciones – Avance 1</t>
  </si>
  <si>
    <t>Revisión por pares con criterio de revista Q1 de la problemática, pregunta de investigación, hipótesis y objetivos. Fecha de revisión: 16-oct-2026. Revisor: Ing. Guillermo Chuncho. Nómina: Grupos/Grupos_matematica.xlsx; asignación de tema y zona: guía general del proyecto integrador (Cuadro 1). Datos verificados contra las bases de Unidad_1/base_de_datos. Use los filtros para ver su grupo.</t>
  </si>
  <si>
    <t>Calificación del grupo (/10)</t>
  </si>
  <si>
    <t>N.º</t>
  </si>
  <si>
    <t>Elemento</t>
  </si>
  <si>
    <t>Severidad</t>
  </si>
  <si>
    <t>Evidencia en el informe</t>
  </si>
  <si>
    <t>Error o debilidad detectada</t>
  </si>
  <si>
    <t>Sugerencia para el Avance 2</t>
  </si>
  <si>
    <t>Ejemplo orientativo (adaptar, no copiar)</t>
  </si>
  <si>
    <t>Jhanine Fernanda Toledo Merino, Mayerly Stefanny Moreno Vera, Mateo Joel Gonzalez Samaniego, Dulce Isabel Barreto Zapata</t>
  </si>
  <si>
    <t>General</t>
  </si>
  <si>
    <t>Crítica</t>
  </si>
  <si>
    <t>No existe archivo del grupo en Unidad_1/avance_proyecto_integrador/avance_1.</t>
  </si>
  <si>
    <t>No hay evidencia del Avance 1: no puede evaluarse problemática, pregunta, hipótesis ni objetivos.</t>
  </si>
  <si>
    <t>Si la entrega se realizó por otro medio (EVA, correo), comunicarlo al docente. Caso contrario, el Avance 2 debe incluir la formulación completa: problema, pregunta, hipótesis y objetivos, siguiendo la guía general (sección 4.4, Unidad 1) y la guía del Avance 2.</t>
  </si>
  <si>
    <t>Orientación</t>
  </si>
  <si>
    <t>Administrativa</t>
  </si>
  <si>
    <t>Tema asignado: relieve y accesibilidad, Zona Norte (400 celdas estáticas).</t>
  </si>
  <si>
    <t>Recuerden que las variables de relieve son estáticas (una fila por celda): no tienen dimensión temporal. La guía general orienta el trabajo hacia el área bajo el perfil de elevación de un transecto, A = ∫ f(x) dx.</t>
  </si>
  <si>
    <t>Yanira Maily Rojas Vega, Sonia Noemi Rodriguez Jaramillo, Carlos Daniel Gonzalez Castillo, Diana Patricia Cardenas Campoverde</t>
  </si>
  <si>
    <t>Asignación</t>
  </si>
  <si>
    <t>Portada: «Equipo N.º 1 … parte norte del cantón Loja».</t>
  </si>
  <si>
    <t>En la nómina oficial (Grupos_matematica.xlsx y Cuadro 1 de la guía general) el grupo figura como GRUPO 2, con el tema Relieve y la Zona SUR. El informe se declara Equipo 1 y trabaja la Zona Norte.</t>
  </si>
  <si>
    <t>Confirmar con el docente el número de grupo y la base asignada antes del Avance 2. Si corresponde la Zona Sur, rehacer la delimitación con Grupo_02_Relieve_Sur.csv (centro_y_m &lt; 9 555 250).</t>
  </si>
  <si>
    <t>Mayor</t>
  </si>
  <si>
    <t>Enumera cuatro causas: expansión urbana, escorrentía, inundaciones en zonas bajas y accesibilidad; menciona recarga hídrica, calidad del agua y caudal pico.</t>
  </si>
  <si>
    <t>El problema es descriptivo y disperso: mezcla fenómenos que la base no mide (escorrentía, inundaciones, recarga de acuíferos, expansión urbana, calidad del agua). La base contiene solo elevación, pendiente, orientación y distancias a vías y asentamientos, todas estáticas. El lector no identifica cuál es el problema investigable.</t>
  </si>
  <si>
    <t>Reducir el problema a una sola cadena: situación territorial (relieve quebrado) → vacío (no se ha cuantificado la sección transversal ni el desnivel acumulado de un transecto representativo) → relevancia → posibilidad de calcularlo con la base. Eliminar las causas que no pueden contrastarse con los datos.</t>
  </si>
  <si>
    <t>«Altitudes desde 2,400 m s.n.m. hasta 3,200+ m», «precipitación anual 900-1,200 mm», «temperaturas medias entre 9 °C y 16 °C».</t>
  </si>
  <si>
    <t>Son cifras de contexto sin cita, y contradicen la base: en la ventana Norte (Grupo_01_Relieve_Norte.csv) la elevación media por celda va de ≈1 643 m a ≈3 292 m. Además se listan siete parroquias (San Lucas, Santiago, Gualel, Taquil, Chantaco, Chuquiribamba, El Cisne) que no corresponden a una ventana de 10 × 10 km.</t>
  </si>
  <si>
    <t>Citar toda cifra de contexto (APA 7) y describir la zona con los datos reales de la ventana (rango de elevación, pendiente media, coordenadas). Delimitar el área a la ventana de 20 × 20 celdas, no a parroquias completas.</t>
  </si>
  <si>
    <t>«¿Cómo influyen las características del terreno en el acceso a las diferentes zonas del norte de Loja durante el periodo 2019-2024…?»</t>
  </si>
  <si>
    <t>(a) La pregunta es causal y abierta («¿cómo influyen?»), no se responde con un número. (b) No está planteada en clave de cálculo integral: no hay función, intervalo ni integral, y la rúbrica de la Fase 1 lo exige. (c) «Accesibilidad» no está definida operativamente. (d) El periodo 2019-2024 no aplica: el relieve es estático.</t>
  </si>
  <si>
    <t>Formular una pregunta única, cuantitativa y respondible con una integral definida sobre un transecto de la ventana.</t>
  </si>
  <si>
    <t>Ejemplo orientativo (adaptar): ¿Cuál es el área de la sección transversal bajo el perfil de elevación del transecto [fila/columna] de la ventana [zona], A = ∫ₐᵇ f(x) dx (m²), y cuánto difiere su valor analítico de la aproximación trapezoidal con los 20 puntos observados?</t>
  </si>
  <si>
    <t>«…influyen de forma significativa en la accesibilidad… presentan mayores limitaciones de acceso (rutas más largas y sinuosas, con una distancia real mayor que la euclidiana)…»</t>
  </si>
  <si>
    <t>(a) «Significativa» no tiene indicador, umbral ni prueba asociados. (b) La base no contiene rutas ni distancias recorridas: solo la distancia euclidiana a la vía más cercana (osm_distancia_vias_m_mean). La comparación distancia real vs. euclidiana no es contrastable. (c) «Se concentran en sectores específicos que pueden localizarse» no es falsable.</t>
  </si>
  <si>
    <t>Escribir una afirmación con variable, transecto, indicador y criterio cuantitativo justificado. Si se mantiene la accesibilidad, operacionalizarla con osm_distancia_vias_m_mean y pendiente, y dejar la longitud de arco para la Unidad 2.</t>
  </si>
  <si>
    <t>Ejemplo orientativo: «Un polinomio de grado ≤ 4 ajustado al perfil del transecto reproduce la elevación con R² ≥ 0,95, y su integral difiere menos de 2 % de la suma trapezoidal con Δx = 500 m».</t>
  </si>
  <si>
    <t>OG «Analizar cómo las características del relieve influyen…»; OE «Reconocer…», «Analizar cómo se relacionan…», «Localizar las áreas…».</t>
  </si>
  <si>
    <t>Los verbos no son medibles y ningún objetivo produce una salida verificable (tabla, valor, figura). El OG repite la pregunta. Ningún objetivo menciona un modelo f(x), una integral definida, sumas de Riemann o el TFC: el proyecto no demanda cálculo integral.</t>
  </si>
  <si>
    <t>OG en infinitivo, alineado con la nueva pregunta. Tres OE con salida verificable: (1) seleccionar y justificar el transecto (perfil observado); (2) ajustar f(x) y reportar R²/RMSE; (3) calcular ∫ f(x) dx analíticamente y compararla con Riemann/trapecio (error relativo %).</t>
  </si>
  <si>
    <t>Formato / completitud</t>
  </si>
  <si>
    <t>Las secciones 6 (Datos y variables), 7 (Alcance), 8 (Matriz de coherencia) y el anexo de IA conservan el texto de plantilla («nombre 1 …», «Qué incluye y qué no…»).</t>
  </si>
  <si>
    <t>El documento se entregó con secciones de plantilla sin completar.</t>
  </si>
  <si>
    <t>Completar o retirar toda sección de plantilla. La matriz de coherencia es especialmente útil para verificar que pregunta, hipótesis y OG traten la misma variable.</t>
  </si>
  <si>
    <t>Referencias</t>
  </si>
  <si>
    <t>INAMHI (2020) Anuario Meteorológico; GAD Provincial (2021) PDOT; Cueva y Jiménez (2019) «…sector sur del cantón Loja», Revista de Geografía y Ciencias Ambientales – UNL.</t>
  </si>
  <si>
    <t>No hay citas en el texto. El anuario meteorológico no sustenta afirmaciones sobre relieve. La referencia de Cueva y Jiménez (2019) trata el sector sur y no pudo localizarse; debe verificarse que exista. No se citan las fuentes de los datos (ALOS, OSM, GHSL).</t>
  </si>
  <si>
    <t>Citar en el texto cada afirmación con su fuente; incluir solo referencias consultadas y localizables (DOI/URL), y citar la base y el diccionario de variables del curso.</t>
  </si>
  <si>
    <t>Menor</t>
  </si>
  <si>
    <t>Las secciones 1 y 2 repiten casi literalmente los mismos párrafos (expansión urbana, erosión, accesibilidad).</t>
  </si>
  <si>
    <t>Hay redundancia entre problema y justificación; la lista numerada está incrustada en el párrafo, con errores de tipeo («rígos») y de puntuación.</t>
  </si>
  <si>
    <t>El problema explica qué falta conocer; la justificación explica por qué importa. No repetir. Usar listas de LaTeX (enumerate) o redactar en prosa.</t>
  </si>
  <si>
    <t>John David Jimenez Troya, Isidro Francisco Chamba Mendoza, Andy Alcides Aguilar Arteaga, Giorgi Michael Chamba Sanchez, Kevin Josue Jimenez Macau</t>
  </si>
  <si>
    <t>Portada: «Equipo N.º 2 … zona sur»; tema relieve y movilidad.</t>
  </si>
  <si>
    <t>En la nómina oficial el grupo es el GRUPO 3, con el tema Cobertura vegetal y uso del suelo, Zona NORTE. El informe trabaja relieve en la Zona Sur, tema asignado a otro grupo (en la guía general, la regla territorial prohíbe cruzar datos entre zonas o equipos).</t>
  </si>
  <si>
    <t>Confirmar con el docente el tema y la base. Si se mantiene la asignación oficial, el Avance 2 debe reformularse sobre Grupo_03_Cobertura_Norte.csv.</t>
  </si>
  <si>
    <t>Datos</t>
  </si>
  <si>
    <t>«base asignada al equipo 02 (3.996 celdas y 66 columnas)», «base mensual», variables dem_mean, slope_mean, dist_vias_m, dist_asentamientos_m.</t>
  </si>
  <si>
    <t>Se utilizó la base antigua (origen2), no la vigente. La base vigente de relieve tiene 400 celdas × 17 columnas, sin dimensión temporal, y sus columnas se llaman alos_elevacion_m_mean, alos_pendiente_grados_mean, osm_distancia_vias_m_mean y ghsl_distancia_asentamiento_m_mean. Las variables citadas no existen en ninguna base del curso.</t>
  </si>
  <si>
    <t>Trabajar únicamente con la base vigente de Unidad_1/base_de_datos y transcribir los nombres exactos de columna desde DICCIONARIO_VARIABLES.csv.</t>
  </si>
  <si>
    <t>«…se propone cuantificar los cambios mensuales de esa variable [pendiente] en cada celda…»</t>
  </si>
  <si>
    <t>La premisa es físicamente inválida: la pendiente proviene de un modelo digital de elevación estático (ALOS). En la base antigua el valor se repetía cada mes, así que |s_i,t − s_i,t−1| = 0 y V_i = 0 en todas las celdas. No existe un fenómeno que medir: la pregunta, la hipótesis y el OE2 no son respondibles.</t>
  </si>
  <si>
    <t>Descartar la «variación acumulada de la pendiente». Un problema viable con relieve es la caracterización integral de un transecto (área de la sección transversal, desnivel). Con cobertura, el problema es el cambio acumulado del NDVI.</t>
  </si>
  <si>
    <t>«¿Qué asociación existe entre la variación acumulada de la pendiente media … y la distancia a las vías…?»</t>
  </si>
  <si>
    <t>(a) Depende de una variable con varianza nula, así que la correlación queda indefinida. (b) Es una pregunta estadística, no de cálculo integral: la integral aparece solo en el OE3. (c) Hay incoherencia: el OG incluye la integral del transecto, pero la pregunta y la hipótesis no.</t>
  </si>
  <si>
    <t>Reformular la pregunta alrededor de la integral definida (la parte más sólida del documento es el OE3).</t>
  </si>
  <si>
    <t>Ejemplo orientativo (si se confirma relieve): ¿Cuál es el área de la sección transversal ∫ₐᵇ f(x) dx bajo el perfil de elevación de un transecto desde el punto más bajo hasta la cumbre de la ventana, y cuál es el error relativo de las sumas de Riemann con n = 19 subintervalos?</t>
  </si>
  <si>
    <t>«…se asocia positivamente con la distancia a las vías… r ≥ 0,30 y p &lt; 0,05.»</t>
  </si>
  <si>
    <t>Tiene una buena estructura formal (indicador, umbral y criterio de significancia), pero se aplica a una variable inexistente. El umbral r ≥ 0,30 no se justifica. Con celdas vecinas, la dependencia espacial infla el valor p (el equipo lo reconoce, pero no lo resuelve).</t>
  </si>
  <si>
    <t>Conservar la estructura (indicador + umbral + criterio) y aplicarla a una magnitud integral. Justificar el umbral con literatura o con la revisión preliminar.</t>
  </si>
  <si>
    <t>OG compuesto: «Cuantificar… y analizar… complementando con la integral definida…». OE1: revisar estructura y calidad. OE3: transecto, f(x), antiderivada y Riemann.</t>
  </si>
  <si>
    <t>El OG reúne tres metas distintas. El OE1 es una tarea (revisión de datos) sin salida explícita. El OE2 es inviable. El OE3 está bien construido: tiene intervalo, nivel de referencia, antiderivada, comparación con Riemann e interpretación física.</t>
  </si>
  <si>
    <t>Construir el OG a partir del OE3. Expresar el OE1 como salida (tabla de control de calidad). Reemplazar el OE2 por el ajuste y la validación del modelo f(x) (R², RMSE).</t>
  </si>
  <si>
    <t>El documento termina en el anexo de IA; no hay referencias, tabla de variables, alcance ni matriz de coherencia. Anexo IA: «El equipo debe verificar la exactitud de los datos…».</t>
  </si>
  <si>
    <t>No hay ninguna referencia bibliográfica ni cita. La declaración de IA está redactada como una instrucción dirigida al equipo (parece texto generado y no editado), no como una declaración de lo que el equipo verificó.</t>
  </si>
  <si>
    <t>Incluir referencias APA 7 localizables y la tabla de variables con nombres reales. Reescribir el anexo de IA en primera persona del plural: qué herramienta se usó, para qué, qué se verificó y qué se reescribió.</t>
  </si>
  <si>
    <t>Redacción cuidadosa: distingue asociación de causalidad y declara qué no mide la base.</t>
  </si>
  <si>
    <t>Fortaleza que debe conservarse. Sin embargo, el problema no establece un vacío de conocimiento ambiental, sino un procedimiento de cálculo.</t>
  </si>
  <si>
    <t>Mantener el tono prudente y explicitar el vacío: qué no se sabe del territorio y por qué una integral lo resuelve.</t>
  </si>
  <si>
    <t>Barbara Salome Saritama Maldonado, Yulian Jeraldine Guaman Aguirre, Kristel Pauleth Cevallos Azanza, Ana Gabriela Medina Yaguana</t>
  </si>
  <si>
    <t>«…un período ininterrumpido de 72 meses … 7.200 registros», «a partir de los 72 registros mensuales disponibles».</t>
  </si>
  <si>
    <t>Es falso para el NDVI: faltan 1 412 de 7 200 valores (19,6 %), ninguna celda tiene los 72 meses completos (el mínimo es 46) y en 2019-01, 2023-03 y 2023-05 falta el NDVI en las 100 celdas. El ajuste y las integrales dependen críticamente de cómo se traten estos huecos.</t>
  </si>
  <si>
    <t>Cuantificar los faltantes por mes y por celda (sentinel_t1_missing, s2_cobertura_valida_pct) y declarar el tratamiento: excluir, promediar espacialmente las celdas válidas o interpolar con justificación. Reportar cuántas observaciones entran en cada cálculo.</t>
  </si>
  <si>
    <t>«¿Cuál es la variación neta acumulada … A_veg = ∫ r(t) dt …? Asimismo, ¿qué grado de concordancia existe entre … sumas de Riemann … y … el TFC, utilizando un modelo continuo r(t)…?»</t>
  </si>
  <si>
    <t>(a) Son dos preguntas. (b) Hay una confusión conceptual entre A(t) y r(t): la base observa el nivel A(t) (NDVI), no la tasa r(t). Por el TFC, ∫r dt = A(72) − A(1): el «cambio neto» se reduce a la diferencia entre dos meses ruidosos (y uno de ellos, 2019-01, no tiene datos). (c) Para aplicar Riemann a r(t) primero hay que construir r a partir de diferencias finitas, y eso no se explica.</t>
  </si>
  <si>
    <t>Elegir una sola formulación coherente: (a) integrar el NDVI observado, V = ∫ A(t) dt [NDVI·mes] («verdor acumulado»), y comparar el modelo continuo con el trapecio; o (b) definir r(t) ≈ ΔA/Δt, modelarla y verificar el TFC con A(t₂) − A(t₁) usando promedios de periodo en lugar de meses aislados. Dejar una sola pregunta.</t>
  </si>
  <si>
    <t>«Este cantón abarca alrededor de 1.928 km² … agrícolas (31 %), bosque nativo (26 %), matorrales (17 %)…». «…las fluctuaciones … de la temperatura y la precipitación provocan períodos de escasez de agua que pueden impactar … la actividad fotosintética…»</t>
  </si>
  <si>
    <t>Las cifras de contexto no tienen cita. El mecanismo clima → estrés hídrico → NDVI no puede contrastarse con la base, que no contiene variables climáticas. El problema se plantea como una limitación metodológica (datos discretos frente a continuos), no como un vacío de conocimiento ambiental sobre la cobertura de la Zona Sur.</t>
  </si>
  <si>
    <t>Citar las cifras (MAATE, PDOT). Formular el vacío ambiental: por ejemplo, que no se ha cuantificado el cambio neto ni el verdor acumulado de la ventana sur en 2019-2024. Presentar la discretización como el reto metodológico que el cálculo resuelve, no como el problema.</t>
  </si>
  <si>
    <t>«…R² ≥ 0,90 … una diferencia inferior al 5 % en comparación con la suma de Riemann… relación entre los períodos de recuperación … y los episodios de sequía estacional.»</t>
  </si>
  <si>
    <t>(a) El umbral R² ≥ 0,90 no se justifica y es poco realista para un NDVI mensual con nubosidad, y más aún para su derivada r(t). (b) Si el modelo ajusta bien, la coincidencia integral–trapecio &lt; 5 % se cumple casi por construcción: es una verificación numérica, no una hipótesis ambiental. (c) La relación con la sequía no es contrastable porque no hay variables de clima. (d) Un polinomio de grado alto con 72 puntos arriesga sobreajuste.</t>
  </si>
  <si>
    <t>Separar la hipótesis ambiental (qué se espera del verdor) del criterio de validación del modelo. Justificar los umbrales con la revisión preliminar o con literatura.</t>
  </si>
  <si>
    <t>Ejemplo orientativo: «El verdor acumulado ∫A(t)dt de los semestres lluviosos supera en al menos X % al de los semestres secos en la ventana sur, 2019-2024» (definir meses y X a partir de la exploración).</t>
  </si>
  <si>
    <t>OE3: «…y expresarlo en unidades equivalentes de vegetación o hectáreas acumuladas».</t>
  </si>
  <si>
    <t>El NDVI es adimensional; su integral tiene unidades de NDVI·mes. No puede expresarse en hectáreas sin un criterio de clasificación (por ejemplo, NDVI &gt; umbral ⇒ vegetación densa) multiplicado por 25 ha/celda. Las «unidades equivalentes de vegetación» no están definidas.</t>
  </si>
  <si>
    <t>Declarar las unidades de cada integral. Si se quieren hectáreas, definir el umbral y la regla de conversión, y dejar ese cálculo para la Unidad 3 (integrales dobles), como prevé la guía general.</t>
  </si>
  <si>
    <t>OE1: «Seleccionar la base … auditar … y estructurar la serie…». OG: «un grupo representativo de celdas».</t>
  </si>
  <si>
    <t>El OE1 es una lista de tareas sin salida explícita. El OG habla de «grupo representativo de celdas», mientras el resto del documento usa las 100 celdas: no se define el criterio de selección.</t>
  </si>
  <si>
    <t>Indicar la salida del OE1 (tabla de calidad y serie depurada). Definir si se trabaja con las 100 celdas (promedio espacial) o con una submuestra, y con qué criterio.</t>
  </si>
  <si>
    <t>Nombre del archivo: «Relieve_y_Accesibilidad_Territorial__Sur_…pdf»; no hay sección de referencias ni declaración de IA.</t>
  </si>
  <si>
    <t>El nombre del archivo no corresponde al tema (cobertura vegetal) y faltan referencias, tabla de variables, alcance y matriz de coherencia. Fortalezas: buen resumen, delimitación correcta (y &lt; 9 555 250; 10 × 10 celdas; 25 km²) y notación matemática cuidada.</t>
  </si>
  <si>
    <t>Nombrar los archivos como Avance2_Grupo04_Cobertura_Sur.pdf. Añadir referencias APA 7 (Sentinel-2, MAATE) y la declaración de uso de IA.</t>
  </si>
  <si>
    <t>Shislayne Azucena Chalan Jumbo, Yurixi Maribel Riofrio Medina, Jamileth Stefania Galvez Cornejo, Ibelia Araceli Japon Caillagua, Nelson Sebastian Pullaguari Cuenca</t>
  </si>
  <si>
    <t>«…el volumen total de agua estimado de esta forma no será igual al que se obtiene simplemente sumando mes a mes, ya que al trabajar con una función continua se refleja mejor cómo cambia la lluvia…»</t>
  </si>
  <si>
    <t>Es un error conceptual. CHIRPS mensual ya es un acumulado (mm/mes): la suma de los 72 valores mensuales es exactamente la integral de la tasa en el periodo (H = Σ pₖ·Δt con Δt = 1 mes). Un modelo continuo ajustado no «refleja mejor»; introduce error de ajuste. Si conserva masa, su integral debe coincidir con la suma observada.</t>
  </si>
  <si>
    <t>Usar la suma observada como valor de referencia (verdad de control) y plantear la hipótesis sobre el fenómeno, no sobre el método. El contraste modelo vs. suma es un criterio de validación (error relativo &lt; X %).</t>
  </si>
  <si>
    <t>«…la lluvia cambia bastante de un tiempo a otro…», «a veces llueve mucho, a veces poco», «información clara, real y bien hecha».</t>
  </si>
  <si>
    <t>La redacción es coloquial y repetitiva (un solo párrafo extenso) y no tiene citas. El «problema» se reduce a que «no se ha calculado el total de agua», un vacío trivial que no constituye un problema ambiental. La afirmación «hasta ahora no se ha hecho este tipo de cálculo en la zona» no se sustenta (Valverde et al., 2024, que el propio equipo cita, estiman la precipitación en Loja).</t>
  </si>
  <si>
    <t>Reescribir con registro técnico: situación hidroclimática de la zona (con cifras citadas) → qué no se conoce (p. ej., el volumen precipitado en la ventana y su contraste estacional) → por qué importa (gestión hídrica) → cómo lo resuelve la integral.</t>
  </si>
  <si>
    <t>Delimitación temática: «precipitación CHIRPS, la velocidad del viento, y los días secos y húmedos».</t>
  </si>
  <si>
    <t>El viento y los días secos/húmedos se anuncian en la delimitación y la justificación, pero no aparecen en la pregunta, la hipótesis ni los objetivos. Es una incoherencia interna.</t>
  </si>
  <si>
    <t>Incluir solo las variables que se usarán, o justificar su papel como variables de control.</t>
  </si>
  <si>
    <t>«¿Cuál es la lámina acumulada y el volumen total … obtenidos al integrar … p(t), y cómo se relacionan … con la diferencia entre valores extremos de la función acumulada según el Teorema Fundamental del Cálculos?»</t>
  </si>
  <si>
    <t>(a) Son dos preguntas. (b) El TFC está mal enunciado: ∫ₜ₁ᵗ² p(t) dt = H(t₂) − H(t₁), donde H es la lámina acumulada (una antiderivada). No se trata de «valores extremos» (máximo/mínimo). (c) No se especifica si la lámina es por celda o el promedio de las 100 celdas. Además hay un error ortográfico («Cálculos»).</t>
  </si>
  <si>
    <t>Dejar una pregunta con magnitud (lámina en mm, volumen en m³), dominio (100 celdas, 25 km²) y periodo (t = 1…72 meses).</t>
  </si>
  <si>
    <t>Ejemplo orientativo: ¿Cuál es el volumen precipitado V = A·10⁻³·∫₀⁷² p(t) dt (m³) sobre las 100 celdas de la ventana norte entre enero de 2019 y diciembre de 2024, y cómo se distribuye entre semestres húmedos y secos?</t>
  </si>
  <si>
    <t>«…será bastante mayor en el semestre húmedo…», «…más de 35 millones de metros cúbicos de agua por año».</t>
  </si>
  <si>
    <t>«Bastante mayor» no tiene umbral y no se definen los meses del semestre húmedo y del seco. El umbral de 35 Mm³/año no se justifica: la ventana mide 100 × 25 ha = 25 km², así que ese volumen equivaldría a una lámina de 1 400 mm/año. Hay que verificar el orden de magnitud. La hipótesis contiene además tres predicciones distintas.</t>
  </si>
  <si>
    <t>Una sola afirmación con indicador y umbral justificados (literatura o exploración). Definir explícitamente los meses de cada semestre. Verificar dimensionalmente: V [m³] = A [m²] × H [m].</t>
  </si>
  <si>
    <t>OE1: «…entre los años t1=2019 y t2=2024». OE2: «Aplicar el TFC para demostrar … la diferencia p(t2) − P(t1)…». OE3: «Interpretar el significado físico…».</t>
  </si>
  <si>
    <t>OE1: los límites de integración se expresan en años, pero la base usa t_mes = 1…72; esto genera inconsistencia de unidades. OE2: confunde p (tasa) con P/H (acumulado), y el TFC no se «demuestra» con datos: se aplica o se verifica. OE3: «interpretar» no es medible y no tiene salida. El OG es compuesto y tiene errores de redacción.</t>
  </si>
  <si>
    <t>Definir t en meses con límites [0, 72]. OE2: «Verificar numéricamente que ∫p dt = H(72) − H(0) con la serie acumulada». OE3: con salida concreta (tabla de lámina y volumen por semestre y año).</t>
  </si>
  <si>
    <t>Secciones 7 (Datos y variables), 8 (Alcance), 9 (Matriz de coherencia) y anexo IA con texto de plantilla («nombre_1 …»).</t>
  </si>
  <si>
    <t>Se entregaron secciones de plantilla sin completar. Las citas en el texto no siguen el formato APA (faltan paréntesis: «…agropecuarias Valverde et al., 2024»).</t>
  </si>
  <si>
    <t>Completar las secciones con los nombres reales de las columnas y corregir el formato de cita: (Valverde et al., 2024).</t>
  </si>
  <si>
    <t>Entrega</t>
  </si>
  <si>
    <t>Se recibieron dos archivos (informe_parte1-1.pdf e informe_parte_matemática 2.pdf).</t>
  </si>
  <si>
    <t>Los dos archivos tienen contenido idéntico.</t>
  </si>
  <si>
    <t>Entregar un solo archivo con nombre normalizado (Avance2_Grupo05_Clima_Norte.pdf).</t>
  </si>
  <si>
    <t>Sara Lissette Criollo Montalvan, Lady Lissethe Medina Gualan, Lisseth Alexandra Salazar Valdiviezo, Alejandra Nicole Verdesoto Ortiz, Lisbeth Liliana Sandoval Mendoza</t>
  </si>
  <si>
    <t>Completitud</t>
  </si>
  <si>
    <t>El documento contiene solo: delimitación, pregunta, tabla de variables y tabla de unidades.</t>
  </si>
  <si>
    <t>No se presentan el planteamiento del problema ambiental, la justificación, la hipótesis ni los objetivos (general y específicos), exigidos para la Unidad 1 (guía general, sección 4.4). Faltan las referencias y la declaración de uso de IA (el PDF fue generado con OpenAI Prism).</t>
  </si>
  <si>
    <t>Redactar las cuatro secciones faltantes siguiendo la guía del Avance 2. Declarar el uso de IA: herramienta, propósito, qué se verificó y qué se reescribió.</t>
  </si>
  <si>
    <t>No presentada (solo la «Delimitación del problema», que es correcta: 100 celdas, 2 500 ha, 72 meses, excluye 2025 y la Zona Norte).</t>
  </si>
  <si>
    <t>Sin un problema ambiental no hay justificación para la pregunta. La delimitación es una fortaleza que debe conservarse.</t>
  </si>
  <si>
    <t>Problema: situación hidroclimática de la zona sur (citada) → vacío (volumen precipitado en el periodo crítico no cuantificado) → relevancia (gestión hídrica, escorrentía) → resolución con la integral de la tasa.</t>
  </si>
  <si>
    <t>No presentada.</t>
  </si>
  <si>
    <t>Sin hipótesis no hay afirmación contrastable.</t>
  </si>
  <si>
    <t>Plantear una afirmación con indicador y umbral justificados, por ejemplo sobre la fracción de la lámina anual que se concentra en la ventana crítica, o sobre su ubicación estacional. El umbral debe justificarse con literatura o con la exploración preliminar.</t>
  </si>
  <si>
    <t>No presentados.</t>
  </si>
  <si>
    <t>Sin objetivos no hay ruta metodológica verificable.</t>
  </si>
  <si>
    <t>Un OG en infinitivo que responda la pregunta y tres OE con salida verificable: (1) auditar la calidad (tabla de control); (2) modelar p(t) y plantear la integral con límites justificados; (3) calcular la lámina y el volumen, y contrastarlos con la suma observada (error %).</t>
  </si>
  <si>
    <t>«¿Qué volumen total de precipitación se acumula … durante la ventana de seis meses consecutivos más lluviosa … y cómo puede formularse mediante una integral la fuerza hidrostática … sobre una sección receptora definida?»</t>
  </si>
  <si>
    <t>(a) Son dos preguntas. (b) La fuerza hidrostática es contenido de la Unidad 3 y requiere una geometría h(y), w(y) que la base no contiene (el propio equipo lo reconoce: «se requieren valores geométricos»). (c) No se define cómo se identifica la ventana más lluviosa: ventana móvil de 6 meses (67 posibles), sobre el promedio de las 100 celdas o sobre el total, y si puede cruzar de un año a otro.</t>
  </si>
  <si>
    <t>Conservar la primera parte, que es concreta y respondible, y definir el criterio de selección de la ventana. Trasladar la fuerza hidrostática a la Unidad 3.</t>
  </si>
  <si>
    <t>Ejemplo orientativo: ¿Cuál es el volumen precipitado V = A·10⁻³·∫ₜₐ^{tₐ+6} p(t) dt (m³) sobre las 100 celdas de la ventana sur en la ventana móvil de seis meses con mayor lámina media del periodo 2019-2024?</t>
  </si>
  <si>
    <t>Marco de variables</t>
  </si>
  <si>
    <t>Tabla: «p(t) — Derivada de P»; símbolos d_h y d_s para días húmedos/secos; u para el viento; densidad «Por medir o definir»; geometría h(y), w(y) «Se requieren valores».</t>
  </si>
  <si>
    <t>(a) p(t) no es la derivada de P (la lámina mensual): es la derivada de la lámina acumulada H(t); P mensual ≈ ∫ p(t) dt en el mes. (b) Usar d_h y d_s para los días choca con la notación diferencial dh/dt de la misma tabla. (c) Se incluyen variables que no se usarán (viento, días secos/húmedos, prev2m, prev3m); recordar que prev2m y prev3m se solapan con t1 y no deben sumarse. (d) Quedan campos pendientes.</t>
  </si>
  <si>
    <t>Notación: Pₖ (mm/mes, observada), p(t) (tasa del modelo), H(t) = ∫₀ᵗ p dτ (acumulada). Renombrar los días como N_h y N_s. Dejar solo las variables que se usarán, o marcarlas como de control.</t>
  </si>
  <si>
    <t>Unidades</t>
  </si>
  <si>
    <t>«1 mes = 30 días = 2,592 × 10⁶ s»; «1 mm/mes ≈ 3,86 × 10⁻¹⁰ m/s».</t>
  </si>
  <si>
    <t>La conversión es correcta, pero el supuesto de 30 días ignora la duración real de cada mes (chirps_dias_validos_t1 vale entre 28 y 31). Para el volumen no hace falta pasar a segundos: basta con mm → m y A = 2,5 × 10⁷ m².</t>
  </si>
  <si>
    <t>Trabajar en mm/mes y m³. Si se convierte a segundos, usar los días reales de cada mes.</t>
  </si>
  <si>
    <t>Adrian Saul Aguilar Franco, Diana Carolina Llivisaca Montoya, Jhonny Francisco Narvaez Macas, Jorge Isai Landacay Hidalgo, Carlos Daniel Cajamarca Gordillo</t>
  </si>
  <si>
    <t>Tema asignado: incendios forestales, cantón completo (serie mensual de 72 meses + resumen por celda).</t>
  </si>
  <si>
    <t>La guía general orienta el trabajo hacia la tasa mensual de afectación r_fuego(t) [ha/mes] y el área acumulada A(t) = ∫ r_fuego dτ. Recuerden que el área corresponde a celdas con incendio detectado, no a área quemada medida en campo.</t>
  </si>
  <si>
    <t>Revisión del Avance 1 – Grupo 1</t>
  </si>
  <si>
    <t>Matemática II · Proyecto Integrador · Revisión con criterio Q1 · 16-oct-2026</t>
  </si>
  <si>
    <t>Sin entrega  —  Problemática: No presentado · Pregunta: No presentado · Hipótesis: No presentado · Objetivos: No presentado</t>
  </si>
  <si>
    <t>Desglose de la calificación</t>
  </si>
  <si>
    <t>Revisión del Avance 1 – Grupo 2</t>
  </si>
  <si>
    <t>Revisión mayor  —  Problemática: Revisión mayor · Pregunta: Reformular · Hipótesis: Reformular · Objetivos: Revisión mayor</t>
  </si>
  <si>
    <t>Revisión del Avance 1 – Grupo 3</t>
  </si>
  <si>
    <t>Revisión mayor  —  Problemática: Reformular · Pregunta: Reformular · Hipótesis: Reformular · Objetivos: Revisión mayor</t>
  </si>
  <si>
    <t>Revisión del Avance 1 – Grupo 4</t>
  </si>
  <si>
    <t>Revisión mayor  —  Problemática: Revisión mayor · Pregunta: Reformular · Hipótesis: Revisión mayor · Objetivos: Revisión menor</t>
  </si>
  <si>
    <t>Revisión del Avance 1 – Grupo 5</t>
  </si>
  <si>
    <t>Revisión mayor  —  Problemática: Reformular · Pregunta: Revisión mayor · Hipótesis: Reformular · Objetivos: Revisión mayor</t>
  </si>
  <si>
    <t>Revisión del Avance 1 – Grupo 6</t>
  </si>
  <si>
    <t>Rechazo y reenvío  —  Problemática: No presentado · Pregunta: Revisión mayor · Hipótesis: No presentado · Objetivos: No presentado</t>
  </si>
  <si>
    <t>Revisión del Avance 1 – Grupo 7</t>
  </si>
  <si>
    <t>Criterios de revisión aplicados (estándar de revista Q1)</t>
  </si>
  <si>
    <t>Cada observación se clasifica por severidad y se vincula a uno de los elementos evaluados.</t>
  </si>
  <si>
    <t>Elemento / Severidad</t>
  </si>
  <si>
    <t>Pregunta que se hizo el revisor</t>
  </si>
  <si>
    <t>Qué se espera para el Avance 2</t>
  </si>
  <si>
    <t>¿Identifica una situación ambiental concreta de la zona asignada, un vacío de conocimiento explícito y su relevancia, sin atribuir a la base efectos que no mide? ¿Las cifras de contexto están citadas y son consistentes con los datos?</t>
  </si>
  <si>
    <t>Situación territorial → vacío → relevancia → cómo la integral y los datos permiten resolverlo. Cifras con cita APA 7.</t>
  </si>
  <si>
    <t>¿Es una sola pregunta, concreta, en clave de cálculo integral (función, intervalo, integral), con variable, zona y periodo, y respondible con el CSV asignado?</t>
  </si>
  <si>
    <t>Una sola pregunta cuya respuesta sea una magnitud integral con unidades.</t>
  </si>
  <si>
    <t>¿Es una afirmación falsable, con indicador, umbral cuantitativo justificado y criterio de contraste? ¿Es coherente con la pregunta y con lo que la base mide?</t>
  </si>
  <si>
    <t>Una afirmación; umbral justificado con literatura o exploración; no tautológica (no confundir validación numérica con hipótesis).</t>
  </si>
  <si>
    <t>¿Hay un OG que responde la pregunta y al menos tres OE con verbo medible y salida verificable que, en conjunto, permiten cumplir el OG y exigen cálculo integral?</t>
  </si>
  <si>
    <t>OG en infinitivo; tres OE con salida (tabla, valor, figura, error %).</t>
  </si>
  <si>
    <t>El elemento es inválido, inviable con la base o no existe; impide evaluar el proyecto.</t>
  </si>
  <si>
    <t>Debe resolverse obligatoriamente en el Avance 2.</t>
  </si>
  <si>
    <t>El elemento existe pero requiere reformulación sustantiva (coherencia, medibilidad, rigor conceptual).</t>
  </si>
  <si>
    <t>Debe resolverse en el Avance 2 y explicarse en la tabla de respuesta a observaciones.</t>
  </si>
  <si>
    <t>Forma, estilo, redacción, citación o detalle que no altera el planteamiento.</t>
  </si>
  <si>
    <t>Corregir en el Avance 2.</t>
  </si>
  <si>
    <t>Entrega, nombre de archivo, duplicados u orientación general.</t>
  </si>
  <si>
    <t>Atender en la próxima entrega.</t>
  </si>
  <si>
    <t>Escala de calificación por elemento (máx. 2,5 c/u; total /10)</t>
  </si>
  <si>
    <t>Puntaje</t>
  </si>
  <si>
    <t>Descripción del desempeño</t>
  </si>
  <si>
    <t>Dictamen asociado (orientativo)</t>
  </si>
  <si>
    <t>2,50</t>
  </si>
  <si>
    <t>Completo: cumple todos los criterios de la pregunta del revisor; solo ajustes de estilo.</t>
  </si>
  <si>
    <t>1,75 – 2,25</t>
  </si>
  <si>
    <t>Sólido con ajustes: estructura correcta y respondible; requiere precisar umbrales, unidades o redacción.</t>
  </si>
  <si>
    <t>1,00 – 1,50</t>
  </si>
  <si>
    <t>Presente con fallas de fondo: falta cuantificar, coherencia parcial, errores conceptuales corregibles.</t>
  </si>
  <si>
    <t>0,50 – 0,75</t>
  </si>
  <si>
    <t>Presente pero no válido: no respondible con la base, premisa incorrecta o sin cálculo integral.</t>
  </si>
  <si>
    <t>0,25 – 0,50</t>
  </si>
  <si>
    <t>Incompleto: solo hay elementos aislados (p. ej. delimitación sin problema).</t>
  </si>
  <si>
    <t>Reformular / No presentado</t>
  </si>
  <si>
    <t>0,00</t>
  </si>
  <si>
    <t>Ausente o sin entrega.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</si>
</sst>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5"/>
      <color rgb="FFFFFFFF"/>
      <name val="Calibri"/>
    </font>
    <font>
      <i/>
      <sz val="10"/>
      <color rgb="FF475569"/>
      <name val="Calibri"/>
    </font>
    <font>
      <b/>
      <sz val="11"/>
      <color rgb="FFFFFFFF"/>
      <name val="Calibri"/>
    </font>
    <font>
      <b/>
      <sz val="12"/>
      <name val="Calibri"/>
    </font>
    <font>
      <b/>
      <sz val="11"/>
      <name val="Calibri"/>
    </font>
    <font>
      <i/>
      <sz val="11"/>
      <color rgb="FF475569"/>
      <name val="Calibri"/>
    </font>
    <font>
      <b/>
      <sz val="11"/>
      <name val="Calibri"/>
    </font>
    <font>
      <b/>
      <sz val="13"/>
      <name val="Calibri"/>
    </font>
    <font>
      <b/>
      <sz val="12"/>
      <color rgb="FF174A45"/>
      <name val="Calibri"/>
    </font>
  </fonts>
  <fills count="12">
    <fill>
      <patternFill patternType="none"/>
    </fill>
    <fill>
      <patternFill patternType="gray125"/>
    </fill>
    <fill>
      <patternFill patternType="solid">
        <fgColor rgb="FF174A45"/>
      </patternFill>
    </fill>
    <fill>
      <patternFill patternType="solid">
        <fgColor rgb="FF0C2B5C"/>
      </patternFill>
    </fill>
    <fill>
      <patternFill patternType="solid">
        <fgColor rgb="FFD9D9D9"/>
      </patternFill>
    </fill>
    <fill>
      <patternFill patternType="solid">
        <fgColor rgb="FFFFF4CC"/>
      </patternFill>
    </fill>
    <fill>
      <patternFill patternType="solid">
        <fgColor rgb="FFFFE8CC"/>
      </patternFill>
    </fill>
    <fill>
      <patternFill patternType="solid">
        <fgColor rgb="FFF8D7DA"/>
      </patternFill>
    </fill>
    <fill>
      <patternFill patternType="solid">
        <fgColor rgb="FFE7F1E8"/>
      </patternFill>
    </fill>
    <fill>
      <patternFill patternType="solid">
        <fgColor rgb="FFF5C2C7"/>
      </patternFill>
    </fill>
    <fill>
      <patternFill patternType="solid">
        <fgColor rgb="FFD4EDDA"/>
      </patternFill>
    </fill>
    <fill>
      <patternFill patternType="solid">
        <fgColor rgb="FFE8ECF4"/>
      </patternFill>
    </fill>
  </fills>
  <borders count="2">
    <border>
      <left/>
      <right/>
      <top/>
      <bottom/>
      <diagonal/>
    </border>
    <border>
      <left style="thin">
        <color rgb="FFBFC7D5"/>
      </left>
      <right style="thin">
        <color rgb="FFBFC7D5"/>
      </right>
      <top style="thin">
        <color rgb="FFBFC7D5"/>
      </top>
      <bottom style="thin">
        <color rgb="FFBFC7D5"/>
      </bottom>
      <diagonal/>
    </border>
  </borders>
  <cellStyleXfs count="1">
    <xf numFmtId="0" fontId="0" fillId="0" borderId="0"/>
  </cellStyleXfs>
  <cellXfs count="43">
    <xf numFmtId="0" fontId="0" fillId="0" borderId="0" xfId="0"/>
    <xf numFmtId="0" fontId="3"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0" fontId="0" fillId="4" borderId="1" xfId="0" applyFill="1" applyBorder="1" applyAlignment="1">
      <alignment horizontal="center" vertical="center" wrapText="1"/>
    </xf>
    <xf numFmtId="2" fontId="0" fillId="0" borderId="1" xfId="0" applyNumberFormat="1" applyBorder="1" applyAlignment="1">
      <alignment horizontal="center" vertical="center" wrapText="1"/>
    </xf>
    <xf numFmtId="2" fontId="4" fillId="5" borderId="1" xfId="0" applyNumberFormat="1" applyFont="1" applyFill="1" applyBorder="1" applyAlignment="1">
      <alignment horizontal="center" vertical="center" wrapText="1"/>
    </xf>
    <xf numFmtId="2" fontId="0" fillId="5" borderId="1" xfId="0" applyNumberFormat="1" applyFill="1" applyBorder="1" applyAlignment="1">
      <alignment horizontal="center" vertical="center" wrapText="1"/>
    </xf>
    <xf numFmtId="0" fontId="5" fillId="4"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5" fillId="6"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5" fillId="9" borderId="1" xfId="0" applyFont="1" applyFill="1" applyBorder="1" applyAlignment="1">
      <alignment horizontal="center" vertical="center" wrapText="1"/>
    </xf>
    <xf numFmtId="0" fontId="7" fillId="0" borderId="0" xfId="0" applyFont="1"/>
    <xf numFmtId="2" fontId="7" fillId="5"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11" borderId="1" xfId="0" applyFont="1" applyFill="1" applyBorder="1" applyAlignment="1">
      <alignment vertical="top" wrapText="1"/>
    </xf>
    <xf numFmtId="0" fontId="7" fillId="0" borderId="1" xfId="0" applyFont="1" applyBorder="1" applyAlignment="1">
      <alignment vertical="top" wrapText="1"/>
    </xf>
    <xf numFmtId="0" fontId="7" fillId="7" borderId="1" xfId="0" applyFont="1" applyFill="1" applyBorder="1" applyAlignment="1">
      <alignment vertical="top" wrapText="1"/>
    </xf>
    <xf numFmtId="0" fontId="7" fillId="6" borderId="1" xfId="0" applyFont="1" applyFill="1" applyBorder="1" applyAlignment="1">
      <alignment vertical="top" wrapText="1"/>
    </xf>
    <xf numFmtId="0" fontId="7" fillId="8" borderId="1" xfId="0" applyFont="1" applyFill="1" applyBorder="1" applyAlignment="1">
      <alignment vertical="top" wrapText="1"/>
    </xf>
    <xf numFmtId="0" fontId="9" fillId="0" borderId="0" xfId="0" applyFont="1"/>
    <xf numFmtId="0" fontId="0" fillId="10" borderId="1" xfId="0" applyFill="1" applyBorder="1" applyAlignment="1">
      <alignment horizontal="center" vertical="center" wrapText="1"/>
    </xf>
    <xf numFmtId="0" fontId="1" fillId="2" borderId="0" xfId="0" applyFont="1" applyFill="1" applyAlignment="1">
      <alignment vertical="center"/>
    </xf>
    <xf numFmtId="0" fontId="0" fillId="0" borderId="0" xfId="0"/>
    <xf numFmtId="0" fontId="0" fillId="6" borderId="1" xfId="0" applyFill="1" applyBorder="1" applyAlignment="1">
      <alignment vertical="top" wrapText="1"/>
    </xf>
    <xf numFmtId="0" fontId="0" fillId="7" borderId="1" xfId="0" applyFill="1" applyBorder="1" applyAlignment="1">
      <alignment vertical="top" wrapText="1"/>
    </xf>
    <xf numFmtId="0" fontId="0" fillId="0" borderId="1" xfId="0" applyBorder="1" applyAlignment="1">
      <alignment vertical="top" wrapText="1"/>
    </xf>
    <xf numFmtId="0" fontId="0" fillId="9" borderId="1" xfId="0" applyFill="1" applyBorder="1" applyAlignment="1">
      <alignment vertical="top" wrapText="1"/>
    </xf>
    <xf numFmtId="0" fontId="0" fillId="4" borderId="1" xfId="0" applyFill="1" applyBorder="1" applyAlignment="1">
      <alignment vertical="top" wrapText="1"/>
    </xf>
    <xf numFmtId="0" fontId="2" fillId="0" borderId="0" xfId="0" applyFont="1" applyAlignment="1">
      <alignment vertical="top" wrapText="1"/>
    </xf>
    <xf numFmtId="0" fontId="6" fillId="0" borderId="0" xfId="0" applyFont="1" applyAlignment="1">
      <alignment vertical="top" wrapText="1"/>
    </xf>
    <xf numFmtId="0" fontId="0" fillId="8" borderId="1" xfId="0" applyFill="1" applyBorder="1" applyAlignment="1">
      <alignment vertical="top" wrapText="1"/>
    </xf>
    <xf numFmtId="0" fontId="0" fillId="10" borderId="1" xfId="0" applyFill="1" applyBorder="1" applyAlignment="1">
      <alignment vertical="top" wrapText="1"/>
    </xf>
    <xf numFmtId="0" fontId="7" fillId="11" borderId="1" xfId="0" applyFont="1" applyFill="1" applyBorder="1" applyAlignment="1">
      <alignment vertical="top" wrapText="1"/>
    </xf>
    <xf numFmtId="2" fontId="8" fillId="5" borderId="1" xfId="0" applyNumberFormat="1" applyFont="1" applyFill="1" applyBorder="1" applyAlignment="1">
      <alignment horizontal="left" vertical="center"/>
    </xf>
    <xf numFmtId="0" fontId="5" fillId="4" borderId="1" xfId="0" applyFont="1" applyFill="1" applyBorder="1" applyAlignment="1">
      <alignment vertical="top" wrapText="1"/>
    </xf>
    <xf numFmtId="0" fontId="5" fillId="6" borderId="1" xfId="0" applyFont="1" applyFill="1" applyBorder="1" applyAlignment="1">
      <alignment vertical="top" wrapText="1"/>
    </xf>
    <xf numFmtId="0" fontId="5" fillId="9"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21"/>
  <sheetViews>
    <sheetView zoomScale="90" workbookViewId="0">
      <pane xSplit="2" ySplit="4" topLeftCell="C5" activePane="bottomRight" state="frozen"/>
      <selection pane="topRight"/>
      <selection pane="bottomLeft"/>
      <selection pane="bottomRight" activeCell="I7" sqref="I7"/>
    </sheetView>
  </sheetViews>
  <sheetFormatPr baseColWidth="10" defaultColWidth="9.140625" defaultRowHeight="15" x14ac:dyDescent="0.25"/>
  <cols>
    <col min="1" max="1" width="8" customWidth="1"/>
    <col min="2" max="2" width="34" customWidth="1"/>
    <col min="3" max="3" width="30" customWidth="1"/>
    <col min="4" max="4" width="26" customWidth="1"/>
    <col min="5" max="5" width="30" customWidth="1"/>
    <col min="6" max="6" width="15" customWidth="1"/>
    <col min="7" max="7" width="9" customWidth="1"/>
    <col min="8" max="8" width="15" customWidth="1"/>
    <col min="9" max="9" width="9" customWidth="1"/>
    <col min="10" max="10" width="15" customWidth="1"/>
    <col min="11" max="11" width="9" customWidth="1"/>
    <col min="12" max="12" width="15" customWidth="1"/>
    <col min="13" max="13" width="9" customWidth="1"/>
    <col min="14" max="15" width="13" customWidth="1"/>
    <col min="16" max="16" width="17" customWidth="1"/>
    <col min="17" max="17" width="14" customWidth="1"/>
    <col min="18" max="18" width="60" customWidth="1"/>
  </cols>
  <sheetData>
    <row r="1" spans="1:18" ht="27.95" customHeight="1" x14ac:dyDescent="0.25">
      <c r="A1" s="27" t="s">
        <v>0</v>
      </c>
      <c r="B1" s="28"/>
      <c r="C1" s="28"/>
      <c r="D1" s="28"/>
      <c r="E1" s="28"/>
      <c r="F1" s="28"/>
      <c r="G1" s="28"/>
      <c r="H1" s="28"/>
      <c r="I1" s="28"/>
      <c r="J1" s="28"/>
      <c r="K1" s="28"/>
      <c r="L1" s="28"/>
      <c r="M1" s="28"/>
      <c r="N1" s="28"/>
      <c r="O1" s="28"/>
      <c r="P1" s="28"/>
      <c r="Q1" s="28"/>
      <c r="R1" s="28"/>
    </row>
    <row r="2" spans="1:18" ht="42" customHeight="1" x14ac:dyDescent="0.25">
      <c r="A2" s="34" t="s">
        <v>1</v>
      </c>
      <c r="B2" s="28"/>
      <c r="C2" s="28"/>
      <c r="D2" s="28"/>
      <c r="E2" s="28"/>
      <c r="F2" s="28"/>
      <c r="G2" s="28"/>
      <c r="H2" s="28"/>
      <c r="I2" s="28"/>
      <c r="J2" s="28"/>
      <c r="K2" s="28"/>
      <c r="L2" s="28"/>
      <c r="M2" s="28"/>
      <c r="N2" s="28"/>
      <c r="O2" s="28"/>
      <c r="P2" s="28"/>
      <c r="Q2" s="28"/>
      <c r="R2" s="28"/>
    </row>
    <row r="4" spans="1:18" ht="32.1" customHeight="1" x14ac:dyDescent="0.25">
      <c r="A4" s="1" t="s">
        <v>2</v>
      </c>
      <c r="B4" s="1" t="s">
        <v>3</v>
      </c>
      <c r="C4" s="1" t="s">
        <v>4</v>
      </c>
      <c r="D4" s="1" t="s">
        <v>5</v>
      </c>
      <c r="E4" s="1" t="s">
        <v>6</v>
      </c>
      <c r="F4" s="1" t="s">
        <v>7</v>
      </c>
      <c r="G4" s="1" t="s">
        <v>8</v>
      </c>
      <c r="H4" s="1" t="s">
        <v>9</v>
      </c>
      <c r="I4" s="1" t="s">
        <v>8</v>
      </c>
      <c r="J4" s="1" t="s">
        <v>10</v>
      </c>
      <c r="K4" s="1" t="s">
        <v>8</v>
      </c>
      <c r="L4" s="1" t="s">
        <v>11</v>
      </c>
      <c r="M4" s="1" t="s">
        <v>8</v>
      </c>
      <c r="N4" s="1" t="s">
        <v>12</v>
      </c>
      <c r="O4" s="1" t="s">
        <v>13</v>
      </c>
      <c r="P4" s="1" t="s">
        <v>14</v>
      </c>
      <c r="Q4" s="1" t="s">
        <v>15</v>
      </c>
      <c r="R4" s="1" t="s">
        <v>16</v>
      </c>
    </row>
    <row r="5" spans="1:18" ht="68.099999999999994" customHeight="1" x14ac:dyDescent="0.25">
      <c r="A5" s="2">
        <v>1</v>
      </c>
      <c r="B5" s="3" t="s">
        <v>17</v>
      </c>
      <c r="C5" s="3" t="s">
        <v>18</v>
      </c>
      <c r="D5" s="3" t="s">
        <v>19</v>
      </c>
      <c r="E5" s="3" t="s">
        <v>20</v>
      </c>
      <c r="F5" s="4" t="s">
        <v>21</v>
      </c>
      <c r="G5" s="5">
        <v>0</v>
      </c>
      <c r="H5" s="4" t="s">
        <v>21</v>
      </c>
      <c r="I5" s="5">
        <v>0</v>
      </c>
      <c r="J5" s="4" t="s">
        <v>21</v>
      </c>
      <c r="K5" s="5">
        <v>0</v>
      </c>
      <c r="L5" s="4" t="s">
        <v>21</v>
      </c>
      <c r="M5" s="5">
        <v>0</v>
      </c>
      <c r="N5" s="6">
        <f t="shared" ref="N5:N11" si="0">G5+I5+K5+M5</f>
        <v>0</v>
      </c>
      <c r="O5" s="7">
        <f t="shared" ref="O5:O11" si="1">ROUND(N5*0.03,2)</f>
        <v>0</v>
      </c>
      <c r="P5" s="8" t="s">
        <v>22</v>
      </c>
      <c r="Q5" s="2" t="s">
        <v>23</v>
      </c>
      <c r="R5" s="3" t="s">
        <v>24</v>
      </c>
    </row>
    <row r="6" spans="1:18" ht="68.099999999999994" customHeight="1" x14ac:dyDescent="0.25">
      <c r="A6" s="2">
        <v>2</v>
      </c>
      <c r="B6" s="3" t="s">
        <v>25</v>
      </c>
      <c r="C6" s="3" t="s">
        <v>26</v>
      </c>
      <c r="D6" s="3" t="s">
        <v>27</v>
      </c>
      <c r="E6" s="3" t="s">
        <v>28</v>
      </c>
      <c r="F6" s="9" t="s">
        <v>29</v>
      </c>
      <c r="G6" s="5">
        <v>1.25</v>
      </c>
      <c r="H6" s="10" t="s">
        <v>30</v>
      </c>
      <c r="I6" s="5">
        <v>0.75</v>
      </c>
      <c r="J6" s="10" t="s">
        <v>30</v>
      </c>
      <c r="K6" s="5">
        <v>0.75</v>
      </c>
      <c r="L6" s="9" t="s">
        <v>29</v>
      </c>
      <c r="M6" s="5">
        <v>1</v>
      </c>
      <c r="N6" s="6">
        <f t="shared" si="0"/>
        <v>3.75</v>
      </c>
      <c r="O6" s="7">
        <f t="shared" si="1"/>
        <v>0.11</v>
      </c>
      <c r="P6" s="11" t="s">
        <v>29</v>
      </c>
      <c r="Q6" s="2" t="s">
        <v>31</v>
      </c>
      <c r="R6" s="3" t="s">
        <v>32</v>
      </c>
    </row>
    <row r="7" spans="1:18" ht="83.1" customHeight="1" x14ac:dyDescent="0.25">
      <c r="A7" s="2">
        <v>3</v>
      </c>
      <c r="B7" s="3" t="s">
        <v>33</v>
      </c>
      <c r="C7" s="3" t="s">
        <v>34</v>
      </c>
      <c r="D7" s="3" t="s">
        <v>35</v>
      </c>
      <c r="E7" s="3" t="s">
        <v>36</v>
      </c>
      <c r="F7" s="10" t="s">
        <v>30</v>
      </c>
      <c r="G7" s="5">
        <v>1</v>
      </c>
      <c r="H7" s="10" t="s">
        <v>30</v>
      </c>
      <c r="I7" s="5">
        <v>0.75</v>
      </c>
      <c r="J7" s="10" t="s">
        <v>30</v>
      </c>
      <c r="K7" s="5">
        <v>1</v>
      </c>
      <c r="L7" s="9" t="s">
        <v>29</v>
      </c>
      <c r="M7" s="5">
        <v>1.5</v>
      </c>
      <c r="N7" s="6">
        <f t="shared" si="0"/>
        <v>4.25</v>
      </c>
      <c r="O7" s="7">
        <f t="shared" si="1"/>
        <v>0.13</v>
      </c>
      <c r="P7" s="11" t="s">
        <v>29</v>
      </c>
      <c r="Q7" s="2" t="s">
        <v>37</v>
      </c>
      <c r="R7" s="3" t="s">
        <v>38</v>
      </c>
    </row>
    <row r="8" spans="1:18" ht="68.099999999999994" customHeight="1" x14ac:dyDescent="0.25">
      <c r="A8" s="2">
        <v>4</v>
      </c>
      <c r="B8" s="3" t="s">
        <v>39</v>
      </c>
      <c r="C8" s="3" t="s">
        <v>40</v>
      </c>
      <c r="D8" s="3" t="s">
        <v>41</v>
      </c>
      <c r="E8" s="3" t="s">
        <v>42</v>
      </c>
      <c r="F8" s="9" t="s">
        <v>29</v>
      </c>
      <c r="G8" s="5">
        <v>1.5</v>
      </c>
      <c r="H8" s="10" t="s">
        <v>30</v>
      </c>
      <c r="I8" s="5">
        <v>1.25</v>
      </c>
      <c r="J8" s="9" t="s">
        <v>29</v>
      </c>
      <c r="K8" s="5">
        <v>1.5</v>
      </c>
      <c r="L8" s="12" t="s">
        <v>43</v>
      </c>
      <c r="M8" s="5">
        <v>2</v>
      </c>
      <c r="N8" s="6">
        <f t="shared" si="0"/>
        <v>6.25</v>
      </c>
      <c r="O8" s="7">
        <f t="shared" si="1"/>
        <v>0.19</v>
      </c>
      <c r="P8" s="11" t="s">
        <v>29</v>
      </c>
      <c r="Q8" s="2" t="s">
        <v>44</v>
      </c>
      <c r="R8" s="3" t="s">
        <v>45</v>
      </c>
    </row>
    <row r="9" spans="1:18" ht="83.1" customHeight="1" x14ac:dyDescent="0.25">
      <c r="A9" s="2">
        <v>5</v>
      </c>
      <c r="B9" s="3" t="s">
        <v>46</v>
      </c>
      <c r="C9" s="3" t="s">
        <v>47</v>
      </c>
      <c r="D9" s="3" t="s">
        <v>48</v>
      </c>
      <c r="E9" s="3" t="s">
        <v>49</v>
      </c>
      <c r="F9" s="10" t="s">
        <v>30</v>
      </c>
      <c r="G9" s="5">
        <v>1</v>
      </c>
      <c r="H9" s="9" t="s">
        <v>29</v>
      </c>
      <c r="I9" s="5">
        <v>1.5</v>
      </c>
      <c r="J9" s="10" t="s">
        <v>30</v>
      </c>
      <c r="K9" s="5">
        <v>1</v>
      </c>
      <c r="L9" s="9" t="s">
        <v>29</v>
      </c>
      <c r="M9" s="5">
        <v>1.25</v>
      </c>
      <c r="N9" s="6">
        <f t="shared" si="0"/>
        <v>4.75</v>
      </c>
      <c r="O9" s="7">
        <f t="shared" si="1"/>
        <v>0.14000000000000001</v>
      </c>
      <c r="P9" s="11" t="s">
        <v>29</v>
      </c>
      <c r="Q9" s="2" t="s">
        <v>50</v>
      </c>
      <c r="R9" s="3" t="s">
        <v>51</v>
      </c>
    </row>
    <row r="10" spans="1:18" ht="83.1" customHeight="1" x14ac:dyDescent="0.25">
      <c r="A10" s="2">
        <v>6</v>
      </c>
      <c r="B10" s="3" t="s">
        <v>52</v>
      </c>
      <c r="C10" s="3" t="s">
        <v>53</v>
      </c>
      <c r="D10" s="3" t="s">
        <v>54</v>
      </c>
      <c r="E10" s="3" t="s">
        <v>55</v>
      </c>
      <c r="F10" s="4" t="s">
        <v>21</v>
      </c>
      <c r="G10" s="5">
        <v>0.5</v>
      </c>
      <c r="H10" s="9" t="s">
        <v>29</v>
      </c>
      <c r="I10" s="5">
        <v>1.5</v>
      </c>
      <c r="J10" s="4" t="s">
        <v>21</v>
      </c>
      <c r="K10" s="5">
        <v>0</v>
      </c>
      <c r="L10" s="4" t="s">
        <v>21</v>
      </c>
      <c r="M10" s="5">
        <v>0</v>
      </c>
      <c r="N10" s="6">
        <f t="shared" si="0"/>
        <v>2</v>
      </c>
      <c r="O10" s="7">
        <f t="shared" si="1"/>
        <v>0.06</v>
      </c>
      <c r="P10" s="13" t="s">
        <v>56</v>
      </c>
      <c r="Q10" s="2" t="s">
        <v>57</v>
      </c>
      <c r="R10" s="3" t="s">
        <v>58</v>
      </c>
    </row>
    <row r="11" spans="1:18" ht="83.1" customHeight="1" x14ac:dyDescent="0.25">
      <c r="A11" s="2">
        <v>7</v>
      </c>
      <c r="B11" s="3" t="s">
        <v>59</v>
      </c>
      <c r="C11" s="3" t="s">
        <v>60</v>
      </c>
      <c r="D11" s="3" t="s">
        <v>19</v>
      </c>
      <c r="E11" s="3" t="s">
        <v>20</v>
      </c>
      <c r="F11" s="4" t="s">
        <v>21</v>
      </c>
      <c r="G11" s="5">
        <v>0</v>
      </c>
      <c r="H11" s="4" t="s">
        <v>21</v>
      </c>
      <c r="I11" s="5">
        <v>0</v>
      </c>
      <c r="J11" s="4" t="s">
        <v>21</v>
      </c>
      <c r="K11" s="5">
        <v>0</v>
      </c>
      <c r="L11" s="4" t="s">
        <v>21</v>
      </c>
      <c r="M11" s="5">
        <v>0</v>
      </c>
      <c r="N11" s="6">
        <f t="shared" si="0"/>
        <v>0</v>
      </c>
      <c r="O11" s="7">
        <f t="shared" si="1"/>
        <v>0</v>
      </c>
      <c r="P11" s="8" t="s">
        <v>22</v>
      </c>
      <c r="Q11" s="2" t="s">
        <v>23</v>
      </c>
      <c r="R11" s="3" t="s">
        <v>24</v>
      </c>
    </row>
    <row r="13" spans="1:18" ht="32.1" customHeight="1" x14ac:dyDescent="0.25">
      <c r="A13" s="35" t="s">
        <v>61</v>
      </c>
      <c r="B13" s="28"/>
      <c r="C13" s="28"/>
      <c r="D13" s="28"/>
      <c r="E13" s="28"/>
      <c r="F13" s="28"/>
      <c r="G13" s="28"/>
      <c r="H13" s="28"/>
      <c r="I13" s="28"/>
      <c r="J13" s="28"/>
      <c r="K13" s="28"/>
      <c r="L13" s="28"/>
      <c r="M13" s="28"/>
    </row>
    <row r="14" spans="1:18" x14ac:dyDescent="0.25">
      <c r="A14" s="14" t="s">
        <v>62</v>
      </c>
    </row>
    <row r="15" spans="1:18" x14ac:dyDescent="0.25">
      <c r="A15" s="37" t="s">
        <v>63</v>
      </c>
      <c r="B15" s="28"/>
      <c r="C15" s="31" t="s">
        <v>64</v>
      </c>
      <c r="D15" s="28"/>
      <c r="E15" s="28"/>
      <c r="F15" s="28"/>
    </row>
    <row r="16" spans="1:18" x14ac:dyDescent="0.25">
      <c r="A16" s="36" t="s">
        <v>43</v>
      </c>
      <c r="B16" s="28"/>
      <c r="C16" s="31" t="s">
        <v>65</v>
      </c>
      <c r="D16" s="28"/>
      <c r="E16" s="28"/>
      <c r="F16" s="28"/>
    </row>
    <row r="17" spans="1:6" x14ac:dyDescent="0.25">
      <c r="A17" s="29" t="s">
        <v>29</v>
      </c>
      <c r="B17" s="28"/>
      <c r="C17" s="31" t="s">
        <v>66</v>
      </c>
      <c r="D17" s="28"/>
      <c r="E17" s="28"/>
      <c r="F17" s="28"/>
    </row>
    <row r="18" spans="1:6" x14ac:dyDescent="0.25">
      <c r="A18" s="30" t="s">
        <v>30</v>
      </c>
      <c r="B18" s="28"/>
      <c r="C18" s="31" t="s">
        <v>67</v>
      </c>
      <c r="D18" s="28"/>
      <c r="E18" s="28"/>
      <c r="F18" s="28"/>
    </row>
    <row r="19" spans="1:6" x14ac:dyDescent="0.25">
      <c r="A19" s="33" t="s">
        <v>21</v>
      </c>
      <c r="B19" s="28"/>
      <c r="C19" s="31" t="s">
        <v>68</v>
      </c>
      <c r="D19" s="28"/>
      <c r="E19" s="28"/>
      <c r="F19" s="28"/>
    </row>
    <row r="20" spans="1:6" x14ac:dyDescent="0.25">
      <c r="A20" s="32" t="s">
        <v>56</v>
      </c>
      <c r="B20" s="28"/>
      <c r="C20" s="31" t="s">
        <v>69</v>
      </c>
      <c r="D20" s="28"/>
      <c r="E20" s="28"/>
      <c r="F20" s="28"/>
    </row>
    <row r="21" spans="1:6" x14ac:dyDescent="0.25">
      <c r="A21" s="33" t="s">
        <v>22</v>
      </c>
      <c r="B21" s="28"/>
      <c r="C21" s="31" t="s">
        <v>70</v>
      </c>
      <c r="D21" s="28"/>
      <c r="E21" s="28"/>
      <c r="F21" s="28"/>
    </row>
  </sheetData>
  <mergeCells count="17">
    <mergeCell ref="A21:B21"/>
    <mergeCell ref="A2:R2"/>
    <mergeCell ref="A19:B19"/>
    <mergeCell ref="C20:F20"/>
    <mergeCell ref="C21:F21"/>
    <mergeCell ref="C16:F16"/>
    <mergeCell ref="C15:F15"/>
    <mergeCell ref="A13:M13"/>
    <mergeCell ref="C18:F18"/>
    <mergeCell ref="A16:B16"/>
    <mergeCell ref="C17:F17"/>
    <mergeCell ref="A15:B15"/>
    <mergeCell ref="A1:R1"/>
    <mergeCell ref="A17:B17"/>
    <mergeCell ref="A18:B18"/>
    <mergeCell ref="C19:F19"/>
    <mergeCell ref="A20:B20"/>
  </mergeCells>
  <dataValidations count="1">
    <dataValidation type="decimal" showErrorMessage="1" errorTitle="Puntaje inválido" error="Ingrese un valor entre 0 y 2,5." sqref="G5:G11 I5:I11 K5:K11 M5:M11" xr:uid="{00000000-0002-0000-0000-000000000000}">
      <formula1>0</formula1>
      <formula2>2.5</formula2>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47"/>
  <sheetViews>
    <sheetView zoomScale="90" workbookViewId="0">
      <pane xSplit="4" ySplit="4" topLeftCell="E5" activePane="bottomRight" state="frozen"/>
      <selection pane="topRight"/>
      <selection pane="bottomLeft"/>
      <selection pane="bottomRight" sqref="A1:J1"/>
    </sheetView>
  </sheetViews>
  <sheetFormatPr baseColWidth="10" defaultColWidth="9.140625" defaultRowHeight="15" x14ac:dyDescent="0.25"/>
  <cols>
    <col min="1" max="1" width="8" customWidth="1"/>
    <col min="2" max="2" width="30" customWidth="1"/>
    <col min="3" max="3" width="13" customWidth="1"/>
    <col min="4" max="4" width="5" customWidth="1"/>
    <col min="5" max="5" width="16" customWidth="1"/>
    <col min="6" max="6" width="13" customWidth="1"/>
    <col min="7" max="7" width="45" customWidth="1"/>
    <col min="8" max="8" width="60" customWidth="1"/>
    <col min="9" max="9" width="55" customWidth="1"/>
    <col min="10" max="10" width="45" customWidth="1"/>
  </cols>
  <sheetData>
    <row r="1" spans="1:10" ht="27.95" customHeight="1" x14ac:dyDescent="0.25">
      <c r="A1" s="27" t="s">
        <v>71</v>
      </c>
      <c r="B1" s="28"/>
      <c r="C1" s="28"/>
      <c r="D1" s="28"/>
      <c r="E1" s="28"/>
      <c r="F1" s="28"/>
      <c r="G1" s="28"/>
      <c r="H1" s="28"/>
      <c r="I1" s="28"/>
      <c r="J1" s="28"/>
    </row>
    <row r="2" spans="1:10" ht="42" customHeight="1" x14ac:dyDescent="0.25">
      <c r="A2" s="34" t="s">
        <v>72</v>
      </c>
      <c r="B2" s="28"/>
      <c r="C2" s="28"/>
      <c r="D2" s="28"/>
      <c r="E2" s="28"/>
      <c r="F2" s="28"/>
      <c r="G2" s="28"/>
      <c r="H2" s="28"/>
      <c r="I2" s="28"/>
      <c r="J2" s="28"/>
    </row>
    <row r="4" spans="1:10" ht="32.1" customHeight="1" x14ac:dyDescent="0.25">
      <c r="A4" s="1" t="s">
        <v>2</v>
      </c>
      <c r="B4" s="1" t="s">
        <v>3</v>
      </c>
      <c r="C4" s="1" t="s">
        <v>73</v>
      </c>
      <c r="D4" s="1" t="s">
        <v>74</v>
      </c>
      <c r="E4" s="1" t="s">
        <v>75</v>
      </c>
      <c r="F4" s="1" t="s">
        <v>76</v>
      </c>
      <c r="G4" s="1" t="s">
        <v>77</v>
      </c>
      <c r="H4" s="1" t="s">
        <v>78</v>
      </c>
      <c r="I4" s="1" t="s">
        <v>79</v>
      </c>
      <c r="J4" s="1" t="s">
        <v>80</v>
      </c>
    </row>
    <row r="5" spans="1:10" ht="81" customHeight="1" x14ac:dyDescent="0.25">
      <c r="A5" s="2">
        <v>1</v>
      </c>
      <c r="B5" s="3" t="s">
        <v>81</v>
      </c>
      <c r="C5" s="15">
        <f>Resumen!N5</f>
        <v>0</v>
      </c>
      <c r="D5" s="2">
        <v>1</v>
      </c>
      <c r="E5" s="3" t="s">
        <v>82</v>
      </c>
      <c r="F5" s="16" t="s">
        <v>83</v>
      </c>
      <c r="G5" s="3" t="s">
        <v>84</v>
      </c>
      <c r="H5" s="3" t="s">
        <v>85</v>
      </c>
      <c r="I5" s="3" t="s">
        <v>86</v>
      </c>
      <c r="J5" s="3"/>
    </row>
    <row r="6" spans="1:10" ht="66" customHeight="1" x14ac:dyDescent="0.25">
      <c r="A6" s="2">
        <v>1</v>
      </c>
      <c r="B6" s="3" t="s">
        <v>81</v>
      </c>
      <c r="C6" s="15">
        <f>Resumen!N5</f>
        <v>0</v>
      </c>
      <c r="D6" s="2">
        <v>2</v>
      </c>
      <c r="E6" s="3" t="s">
        <v>87</v>
      </c>
      <c r="F6" s="17" t="s">
        <v>88</v>
      </c>
      <c r="G6" s="3" t="s">
        <v>89</v>
      </c>
      <c r="H6" s="3" t="s">
        <v>19</v>
      </c>
      <c r="I6" s="3" t="s">
        <v>90</v>
      </c>
      <c r="J6" s="3"/>
    </row>
    <row r="7" spans="1:10" ht="66" customHeight="1" x14ac:dyDescent="0.25">
      <c r="A7" s="2">
        <v>2</v>
      </c>
      <c r="B7" s="3" t="s">
        <v>91</v>
      </c>
      <c r="C7" s="15">
        <f>Resumen!N6</f>
        <v>3.75</v>
      </c>
      <c r="D7" s="2">
        <v>1</v>
      </c>
      <c r="E7" s="3" t="s">
        <v>92</v>
      </c>
      <c r="F7" s="16" t="s">
        <v>83</v>
      </c>
      <c r="G7" s="3" t="s">
        <v>93</v>
      </c>
      <c r="H7" s="3" t="s">
        <v>94</v>
      </c>
      <c r="I7" s="3" t="s">
        <v>95</v>
      </c>
      <c r="J7" s="3"/>
    </row>
    <row r="8" spans="1:10" ht="96" customHeight="1" x14ac:dyDescent="0.25">
      <c r="A8" s="2">
        <v>2</v>
      </c>
      <c r="B8" s="3" t="s">
        <v>91</v>
      </c>
      <c r="C8" s="15">
        <f>Resumen!N6</f>
        <v>3.75</v>
      </c>
      <c r="D8" s="2">
        <v>2</v>
      </c>
      <c r="E8" s="3" t="s">
        <v>7</v>
      </c>
      <c r="F8" s="18" t="s">
        <v>96</v>
      </c>
      <c r="G8" s="3" t="s">
        <v>97</v>
      </c>
      <c r="H8" s="3" t="s">
        <v>98</v>
      </c>
      <c r="I8" s="3" t="s">
        <v>99</v>
      </c>
      <c r="J8" s="3"/>
    </row>
    <row r="9" spans="1:10" ht="81" customHeight="1" x14ac:dyDescent="0.25">
      <c r="A9" s="2">
        <v>2</v>
      </c>
      <c r="B9" s="3" t="s">
        <v>91</v>
      </c>
      <c r="C9" s="15">
        <f>Resumen!N6</f>
        <v>3.75</v>
      </c>
      <c r="D9" s="2">
        <v>3</v>
      </c>
      <c r="E9" s="3" t="s">
        <v>7</v>
      </c>
      <c r="F9" s="18" t="s">
        <v>96</v>
      </c>
      <c r="G9" s="3" t="s">
        <v>100</v>
      </c>
      <c r="H9" s="3" t="s">
        <v>101</v>
      </c>
      <c r="I9" s="3" t="s">
        <v>102</v>
      </c>
      <c r="J9" s="3"/>
    </row>
    <row r="10" spans="1:10" ht="96" customHeight="1" x14ac:dyDescent="0.25">
      <c r="A10" s="2">
        <v>2</v>
      </c>
      <c r="B10" s="3" t="s">
        <v>91</v>
      </c>
      <c r="C10" s="15">
        <f>Resumen!N6</f>
        <v>3.75</v>
      </c>
      <c r="D10" s="2">
        <v>4</v>
      </c>
      <c r="E10" s="3" t="s">
        <v>9</v>
      </c>
      <c r="F10" s="18" t="s">
        <v>96</v>
      </c>
      <c r="G10" s="3" t="s">
        <v>103</v>
      </c>
      <c r="H10" s="3" t="s">
        <v>104</v>
      </c>
      <c r="I10" s="3" t="s">
        <v>105</v>
      </c>
      <c r="J10" s="3" t="s">
        <v>106</v>
      </c>
    </row>
    <row r="11" spans="1:10" ht="96" customHeight="1" x14ac:dyDescent="0.25">
      <c r="A11" s="2">
        <v>2</v>
      </c>
      <c r="B11" s="3" t="s">
        <v>91</v>
      </c>
      <c r="C11" s="15">
        <f>Resumen!N6</f>
        <v>3.75</v>
      </c>
      <c r="D11" s="2">
        <v>5</v>
      </c>
      <c r="E11" s="3" t="s">
        <v>10</v>
      </c>
      <c r="F11" s="18" t="s">
        <v>96</v>
      </c>
      <c r="G11" s="3" t="s">
        <v>107</v>
      </c>
      <c r="H11" s="3" t="s">
        <v>108</v>
      </c>
      <c r="I11" s="3" t="s">
        <v>109</v>
      </c>
      <c r="J11" s="3" t="s">
        <v>110</v>
      </c>
    </row>
    <row r="12" spans="1:10" ht="81" customHeight="1" x14ac:dyDescent="0.25">
      <c r="A12" s="2">
        <v>2</v>
      </c>
      <c r="B12" s="3" t="s">
        <v>91</v>
      </c>
      <c r="C12" s="15">
        <f>Resumen!N6</f>
        <v>3.75</v>
      </c>
      <c r="D12" s="2">
        <v>6</v>
      </c>
      <c r="E12" s="3" t="s">
        <v>11</v>
      </c>
      <c r="F12" s="18" t="s">
        <v>96</v>
      </c>
      <c r="G12" s="3" t="s">
        <v>111</v>
      </c>
      <c r="H12" s="3" t="s">
        <v>112</v>
      </c>
      <c r="I12" s="3" t="s">
        <v>113</v>
      </c>
      <c r="J12" s="3"/>
    </row>
    <row r="13" spans="1:10" ht="66" customHeight="1" x14ac:dyDescent="0.25">
      <c r="A13" s="2">
        <v>2</v>
      </c>
      <c r="B13" s="3" t="s">
        <v>91</v>
      </c>
      <c r="C13" s="15">
        <f>Resumen!N6</f>
        <v>3.75</v>
      </c>
      <c r="D13" s="2">
        <v>7</v>
      </c>
      <c r="E13" s="3" t="s">
        <v>114</v>
      </c>
      <c r="F13" s="18" t="s">
        <v>96</v>
      </c>
      <c r="G13" s="3" t="s">
        <v>115</v>
      </c>
      <c r="H13" s="3" t="s">
        <v>116</v>
      </c>
      <c r="I13" s="3" t="s">
        <v>117</v>
      </c>
      <c r="J13" s="3"/>
    </row>
    <row r="14" spans="1:10" ht="66" customHeight="1" x14ac:dyDescent="0.25">
      <c r="A14" s="2">
        <v>2</v>
      </c>
      <c r="B14" s="3" t="s">
        <v>91</v>
      </c>
      <c r="C14" s="15">
        <f>Resumen!N6</f>
        <v>3.75</v>
      </c>
      <c r="D14" s="2">
        <v>8</v>
      </c>
      <c r="E14" s="3" t="s">
        <v>118</v>
      </c>
      <c r="F14" s="18" t="s">
        <v>96</v>
      </c>
      <c r="G14" s="3" t="s">
        <v>119</v>
      </c>
      <c r="H14" s="3" t="s">
        <v>120</v>
      </c>
      <c r="I14" s="3" t="s">
        <v>121</v>
      </c>
      <c r="J14" s="3"/>
    </row>
    <row r="15" spans="1:10" ht="66" customHeight="1" x14ac:dyDescent="0.25">
      <c r="A15" s="2">
        <v>2</v>
      </c>
      <c r="B15" s="3" t="s">
        <v>91</v>
      </c>
      <c r="C15" s="15">
        <f>Resumen!N6</f>
        <v>3.75</v>
      </c>
      <c r="D15" s="2">
        <v>9</v>
      </c>
      <c r="E15" s="3" t="s">
        <v>7</v>
      </c>
      <c r="F15" s="19" t="s">
        <v>122</v>
      </c>
      <c r="G15" s="3" t="s">
        <v>123</v>
      </c>
      <c r="H15" s="3" t="s">
        <v>124</v>
      </c>
      <c r="I15" s="3" t="s">
        <v>125</v>
      </c>
      <c r="J15" s="3"/>
    </row>
    <row r="16" spans="1:10" ht="81" customHeight="1" x14ac:dyDescent="0.25">
      <c r="A16" s="2">
        <v>3</v>
      </c>
      <c r="B16" s="3" t="s">
        <v>126</v>
      </c>
      <c r="C16" s="15">
        <f>Resumen!N7</f>
        <v>4.25</v>
      </c>
      <c r="D16" s="2">
        <v>1</v>
      </c>
      <c r="E16" s="3" t="s">
        <v>92</v>
      </c>
      <c r="F16" s="16" t="s">
        <v>83</v>
      </c>
      <c r="G16" s="3" t="s">
        <v>127</v>
      </c>
      <c r="H16" s="3" t="s">
        <v>128</v>
      </c>
      <c r="I16" s="3" t="s">
        <v>129</v>
      </c>
      <c r="J16" s="3"/>
    </row>
    <row r="17" spans="1:10" ht="96" customHeight="1" x14ac:dyDescent="0.25">
      <c r="A17" s="2">
        <v>3</v>
      </c>
      <c r="B17" s="3" t="s">
        <v>126</v>
      </c>
      <c r="C17" s="15">
        <f>Resumen!N7</f>
        <v>4.25</v>
      </c>
      <c r="D17" s="2">
        <v>2</v>
      </c>
      <c r="E17" s="3" t="s">
        <v>130</v>
      </c>
      <c r="F17" s="16" t="s">
        <v>83</v>
      </c>
      <c r="G17" s="3" t="s">
        <v>131</v>
      </c>
      <c r="H17" s="3" t="s">
        <v>132</v>
      </c>
      <c r="I17" s="3" t="s">
        <v>133</v>
      </c>
      <c r="J17" s="3"/>
    </row>
    <row r="18" spans="1:10" ht="81" customHeight="1" x14ac:dyDescent="0.25">
      <c r="A18" s="2">
        <v>3</v>
      </c>
      <c r="B18" s="3" t="s">
        <v>126</v>
      </c>
      <c r="C18" s="15">
        <f>Resumen!N7</f>
        <v>4.25</v>
      </c>
      <c r="D18" s="2">
        <v>3</v>
      </c>
      <c r="E18" s="3" t="s">
        <v>7</v>
      </c>
      <c r="F18" s="16" t="s">
        <v>83</v>
      </c>
      <c r="G18" s="3" t="s">
        <v>134</v>
      </c>
      <c r="H18" s="3" t="s">
        <v>135</v>
      </c>
      <c r="I18" s="3" t="s">
        <v>136</v>
      </c>
      <c r="J18" s="3"/>
    </row>
    <row r="19" spans="1:10" ht="96" customHeight="1" x14ac:dyDescent="0.25">
      <c r="A19" s="2">
        <v>3</v>
      </c>
      <c r="B19" s="3" t="s">
        <v>126</v>
      </c>
      <c r="C19" s="15">
        <f>Resumen!N7</f>
        <v>4.25</v>
      </c>
      <c r="D19" s="2">
        <v>4</v>
      </c>
      <c r="E19" s="3" t="s">
        <v>9</v>
      </c>
      <c r="F19" s="18" t="s">
        <v>96</v>
      </c>
      <c r="G19" s="3" t="s">
        <v>137</v>
      </c>
      <c r="H19" s="3" t="s">
        <v>138</v>
      </c>
      <c r="I19" s="3" t="s">
        <v>139</v>
      </c>
      <c r="J19" s="3" t="s">
        <v>140</v>
      </c>
    </row>
    <row r="20" spans="1:10" ht="81" customHeight="1" x14ac:dyDescent="0.25">
      <c r="A20" s="2">
        <v>3</v>
      </c>
      <c r="B20" s="3" t="s">
        <v>126</v>
      </c>
      <c r="C20" s="15">
        <f>Resumen!N7</f>
        <v>4.25</v>
      </c>
      <c r="D20" s="2">
        <v>5</v>
      </c>
      <c r="E20" s="3" t="s">
        <v>10</v>
      </c>
      <c r="F20" s="18" t="s">
        <v>96</v>
      </c>
      <c r="G20" s="3" t="s">
        <v>141</v>
      </c>
      <c r="H20" s="3" t="s">
        <v>142</v>
      </c>
      <c r="I20" s="3" t="s">
        <v>143</v>
      </c>
      <c r="J20" s="3"/>
    </row>
    <row r="21" spans="1:10" ht="81" customHeight="1" x14ac:dyDescent="0.25">
      <c r="A21" s="2">
        <v>3</v>
      </c>
      <c r="B21" s="3" t="s">
        <v>126</v>
      </c>
      <c r="C21" s="15">
        <f>Resumen!N7</f>
        <v>4.25</v>
      </c>
      <c r="D21" s="2">
        <v>6</v>
      </c>
      <c r="E21" s="3" t="s">
        <v>11</v>
      </c>
      <c r="F21" s="18" t="s">
        <v>96</v>
      </c>
      <c r="G21" s="3" t="s">
        <v>144</v>
      </c>
      <c r="H21" s="3" t="s">
        <v>145</v>
      </c>
      <c r="I21" s="3" t="s">
        <v>146</v>
      </c>
      <c r="J21" s="3"/>
    </row>
    <row r="22" spans="1:10" ht="81" customHeight="1" x14ac:dyDescent="0.25">
      <c r="A22" s="2">
        <v>3</v>
      </c>
      <c r="B22" s="3" t="s">
        <v>126</v>
      </c>
      <c r="C22" s="15">
        <f>Resumen!N7</f>
        <v>4.25</v>
      </c>
      <c r="D22" s="2">
        <v>7</v>
      </c>
      <c r="E22" s="3" t="s">
        <v>114</v>
      </c>
      <c r="F22" s="18" t="s">
        <v>96</v>
      </c>
      <c r="G22" s="3" t="s">
        <v>147</v>
      </c>
      <c r="H22" s="3" t="s">
        <v>148</v>
      </c>
      <c r="I22" s="3" t="s">
        <v>149</v>
      </c>
      <c r="J22" s="3"/>
    </row>
    <row r="23" spans="1:10" ht="81" customHeight="1" x14ac:dyDescent="0.25">
      <c r="A23" s="2">
        <v>3</v>
      </c>
      <c r="B23" s="3" t="s">
        <v>126</v>
      </c>
      <c r="C23" s="15">
        <f>Resumen!N7</f>
        <v>4.25</v>
      </c>
      <c r="D23" s="2">
        <v>8</v>
      </c>
      <c r="E23" s="3" t="s">
        <v>7</v>
      </c>
      <c r="F23" s="19" t="s">
        <v>122</v>
      </c>
      <c r="G23" s="3" t="s">
        <v>150</v>
      </c>
      <c r="H23" s="3" t="s">
        <v>151</v>
      </c>
      <c r="I23" s="3" t="s">
        <v>152</v>
      </c>
      <c r="J23" s="3"/>
    </row>
    <row r="24" spans="1:10" ht="81" customHeight="1" x14ac:dyDescent="0.25">
      <c r="A24" s="2">
        <v>4</v>
      </c>
      <c r="B24" s="3" t="s">
        <v>153</v>
      </c>
      <c r="C24" s="15">
        <f>Resumen!N8</f>
        <v>6.25</v>
      </c>
      <c r="D24" s="2">
        <v>1</v>
      </c>
      <c r="E24" s="3" t="s">
        <v>130</v>
      </c>
      <c r="F24" s="16" t="s">
        <v>83</v>
      </c>
      <c r="G24" s="3" t="s">
        <v>154</v>
      </c>
      <c r="H24" s="3" t="s">
        <v>155</v>
      </c>
      <c r="I24" s="3" t="s">
        <v>156</v>
      </c>
      <c r="J24" s="3"/>
    </row>
    <row r="25" spans="1:10" ht="96" customHeight="1" x14ac:dyDescent="0.25">
      <c r="A25" s="2">
        <v>4</v>
      </c>
      <c r="B25" s="3" t="s">
        <v>153</v>
      </c>
      <c r="C25" s="15">
        <f>Resumen!N8</f>
        <v>6.25</v>
      </c>
      <c r="D25" s="2">
        <v>2</v>
      </c>
      <c r="E25" s="3" t="s">
        <v>9</v>
      </c>
      <c r="F25" s="16" t="s">
        <v>83</v>
      </c>
      <c r="G25" s="3" t="s">
        <v>157</v>
      </c>
      <c r="H25" s="3" t="s">
        <v>158</v>
      </c>
      <c r="I25" s="3" t="s">
        <v>159</v>
      </c>
      <c r="J25" s="3"/>
    </row>
    <row r="26" spans="1:10" ht="96" customHeight="1" x14ac:dyDescent="0.25">
      <c r="A26" s="2">
        <v>4</v>
      </c>
      <c r="B26" s="3" t="s">
        <v>153</v>
      </c>
      <c r="C26" s="15">
        <f>Resumen!N8</f>
        <v>6.25</v>
      </c>
      <c r="D26" s="2">
        <v>3</v>
      </c>
      <c r="E26" s="3" t="s">
        <v>7</v>
      </c>
      <c r="F26" s="18" t="s">
        <v>96</v>
      </c>
      <c r="G26" s="3" t="s">
        <v>160</v>
      </c>
      <c r="H26" s="3" t="s">
        <v>161</v>
      </c>
      <c r="I26" s="3" t="s">
        <v>162</v>
      </c>
      <c r="J26" s="3"/>
    </row>
    <row r="27" spans="1:10" ht="111" customHeight="1" x14ac:dyDescent="0.25">
      <c r="A27" s="2">
        <v>4</v>
      </c>
      <c r="B27" s="3" t="s">
        <v>153</v>
      </c>
      <c r="C27" s="15">
        <f>Resumen!N8</f>
        <v>6.25</v>
      </c>
      <c r="D27" s="2">
        <v>4</v>
      </c>
      <c r="E27" s="3" t="s">
        <v>10</v>
      </c>
      <c r="F27" s="18" t="s">
        <v>96</v>
      </c>
      <c r="G27" s="3" t="s">
        <v>163</v>
      </c>
      <c r="H27" s="3" t="s">
        <v>164</v>
      </c>
      <c r="I27" s="3" t="s">
        <v>165</v>
      </c>
      <c r="J27" s="3" t="s">
        <v>166</v>
      </c>
    </row>
    <row r="28" spans="1:10" ht="81" customHeight="1" x14ac:dyDescent="0.25">
      <c r="A28" s="2">
        <v>4</v>
      </c>
      <c r="B28" s="3" t="s">
        <v>153</v>
      </c>
      <c r="C28" s="15">
        <f>Resumen!N8</f>
        <v>6.25</v>
      </c>
      <c r="D28" s="2">
        <v>5</v>
      </c>
      <c r="E28" s="3" t="s">
        <v>11</v>
      </c>
      <c r="F28" s="18" t="s">
        <v>96</v>
      </c>
      <c r="G28" s="3" t="s">
        <v>167</v>
      </c>
      <c r="H28" s="3" t="s">
        <v>168</v>
      </c>
      <c r="I28" s="3" t="s">
        <v>169</v>
      </c>
      <c r="J28" s="3"/>
    </row>
    <row r="29" spans="1:10" ht="66" customHeight="1" x14ac:dyDescent="0.25">
      <c r="A29" s="2">
        <v>4</v>
      </c>
      <c r="B29" s="3" t="s">
        <v>153</v>
      </c>
      <c r="C29" s="15">
        <f>Resumen!N8</f>
        <v>6.25</v>
      </c>
      <c r="D29" s="2">
        <v>6</v>
      </c>
      <c r="E29" s="3" t="s">
        <v>11</v>
      </c>
      <c r="F29" s="19" t="s">
        <v>122</v>
      </c>
      <c r="G29" s="3" t="s">
        <v>170</v>
      </c>
      <c r="H29" s="3" t="s">
        <v>171</v>
      </c>
      <c r="I29" s="3" t="s">
        <v>172</v>
      </c>
      <c r="J29" s="3"/>
    </row>
    <row r="30" spans="1:10" ht="66" customHeight="1" x14ac:dyDescent="0.25">
      <c r="A30" s="2">
        <v>4</v>
      </c>
      <c r="B30" s="3" t="s">
        <v>153</v>
      </c>
      <c r="C30" s="15">
        <f>Resumen!N8</f>
        <v>6.25</v>
      </c>
      <c r="D30" s="2">
        <v>7</v>
      </c>
      <c r="E30" s="3" t="s">
        <v>114</v>
      </c>
      <c r="F30" s="19" t="s">
        <v>122</v>
      </c>
      <c r="G30" s="3" t="s">
        <v>173</v>
      </c>
      <c r="H30" s="3" t="s">
        <v>174</v>
      </c>
      <c r="I30" s="3" t="s">
        <v>175</v>
      </c>
      <c r="J30" s="3"/>
    </row>
    <row r="31" spans="1:10" ht="81" customHeight="1" x14ac:dyDescent="0.25">
      <c r="A31" s="2">
        <v>5</v>
      </c>
      <c r="B31" s="3" t="s">
        <v>176</v>
      </c>
      <c r="C31" s="15">
        <f>Resumen!N9</f>
        <v>4.75</v>
      </c>
      <c r="D31" s="2">
        <v>1</v>
      </c>
      <c r="E31" s="3" t="s">
        <v>10</v>
      </c>
      <c r="F31" s="16" t="s">
        <v>83</v>
      </c>
      <c r="G31" s="3" t="s">
        <v>177</v>
      </c>
      <c r="H31" s="3" t="s">
        <v>178</v>
      </c>
      <c r="I31" s="3" t="s">
        <v>179</v>
      </c>
      <c r="J31" s="3"/>
    </row>
    <row r="32" spans="1:10" ht="96" customHeight="1" x14ac:dyDescent="0.25">
      <c r="A32" s="2">
        <v>5</v>
      </c>
      <c r="B32" s="3" t="s">
        <v>176</v>
      </c>
      <c r="C32" s="15">
        <f>Resumen!N9</f>
        <v>4.75</v>
      </c>
      <c r="D32" s="2">
        <v>2</v>
      </c>
      <c r="E32" s="3" t="s">
        <v>7</v>
      </c>
      <c r="F32" s="18" t="s">
        <v>96</v>
      </c>
      <c r="G32" s="3" t="s">
        <v>180</v>
      </c>
      <c r="H32" s="3" t="s">
        <v>181</v>
      </c>
      <c r="I32" s="3" t="s">
        <v>182</v>
      </c>
      <c r="J32" s="3"/>
    </row>
    <row r="33" spans="1:10" ht="81" customHeight="1" x14ac:dyDescent="0.25">
      <c r="A33" s="2">
        <v>5</v>
      </c>
      <c r="B33" s="3" t="s">
        <v>176</v>
      </c>
      <c r="C33" s="15">
        <f>Resumen!N9</f>
        <v>4.75</v>
      </c>
      <c r="D33" s="2">
        <v>3</v>
      </c>
      <c r="E33" s="3" t="s">
        <v>7</v>
      </c>
      <c r="F33" s="18" t="s">
        <v>96</v>
      </c>
      <c r="G33" s="3" t="s">
        <v>183</v>
      </c>
      <c r="H33" s="3" t="s">
        <v>184</v>
      </c>
      <c r="I33" s="3" t="s">
        <v>185</v>
      </c>
      <c r="J33" s="3"/>
    </row>
    <row r="34" spans="1:10" ht="81" customHeight="1" x14ac:dyDescent="0.25">
      <c r="A34" s="2">
        <v>5</v>
      </c>
      <c r="B34" s="3" t="s">
        <v>176</v>
      </c>
      <c r="C34" s="15">
        <f>Resumen!N9</f>
        <v>4.75</v>
      </c>
      <c r="D34" s="2">
        <v>4</v>
      </c>
      <c r="E34" s="3" t="s">
        <v>9</v>
      </c>
      <c r="F34" s="18" t="s">
        <v>96</v>
      </c>
      <c r="G34" s="3" t="s">
        <v>186</v>
      </c>
      <c r="H34" s="3" t="s">
        <v>187</v>
      </c>
      <c r="I34" s="3" t="s">
        <v>188</v>
      </c>
      <c r="J34" s="3" t="s">
        <v>189</v>
      </c>
    </row>
    <row r="35" spans="1:10" ht="81" customHeight="1" x14ac:dyDescent="0.25">
      <c r="A35" s="2">
        <v>5</v>
      </c>
      <c r="B35" s="3" t="s">
        <v>176</v>
      </c>
      <c r="C35" s="15">
        <f>Resumen!N9</f>
        <v>4.75</v>
      </c>
      <c r="D35" s="2">
        <v>5</v>
      </c>
      <c r="E35" s="3" t="s">
        <v>10</v>
      </c>
      <c r="F35" s="18" t="s">
        <v>96</v>
      </c>
      <c r="G35" s="3" t="s">
        <v>190</v>
      </c>
      <c r="H35" s="3" t="s">
        <v>191</v>
      </c>
      <c r="I35" s="3" t="s">
        <v>192</v>
      </c>
      <c r="J35" s="3"/>
    </row>
    <row r="36" spans="1:10" ht="96" customHeight="1" x14ac:dyDescent="0.25">
      <c r="A36" s="2">
        <v>5</v>
      </c>
      <c r="B36" s="3" t="s">
        <v>176</v>
      </c>
      <c r="C36" s="15">
        <f>Resumen!N9</f>
        <v>4.75</v>
      </c>
      <c r="D36" s="2">
        <v>6</v>
      </c>
      <c r="E36" s="3" t="s">
        <v>11</v>
      </c>
      <c r="F36" s="18" t="s">
        <v>96</v>
      </c>
      <c r="G36" s="3" t="s">
        <v>193</v>
      </c>
      <c r="H36" s="3" t="s">
        <v>194</v>
      </c>
      <c r="I36" s="3" t="s">
        <v>195</v>
      </c>
      <c r="J36" s="3"/>
    </row>
    <row r="37" spans="1:10" ht="81" customHeight="1" x14ac:dyDescent="0.25">
      <c r="A37" s="2">
        <v>5</v>
      </c>
      <c r="B37" s="3" t="s">
        <v>176</v>
      </c>
      <c r="C37" s="15">
        <f>Resumen!N9</f>
        <v>4.75</v>
      </c>
      <c r="D37" s="2">
        <v>7</v>
      </c>
      <c r="E37" s="3" t="s">
        <v>114</v>
      </c>
      <c r="F37" s="18" t="s">
        <v>96</v>
      </c>
      <c r="G37" s="3" t="s">
        <v>196</v>
      </c>
      <c r="H37" s="3" t="s">
        <v>197</v>
      </c>
      <c r="I37" s="3" t="s">
        <v>198</v>
      </c>
      <c r="J37" s="3"/>
    </row>
    <row r="38" spans="1:10" ht="81" customHeight="1" x14ac:dyDescent="0.25">
      <c r="A38" s="2">
        <v>5</v>
      </c>
      <c r="B38" s="3" t="s">
        <v>176</v>
      </c>
      <c r="C38" s="15">
        <f>Resumen!N9</f>
        <v>4.75</v>
      </c>
      <c r="D38" s="2">
        <v>8</v>
      </c>
      <c r="E38" s="3" t="s">
        <v>199</v>
      </c>
      <c r="F38" s="17" t="s">
        <v>88</v>
      </c>
      <c r="G38" s="3" t="s">
        <v>200</v>
      </c>
      <c r="H38" s="3" t="s">
        <v>201</v>
      </c>
      <c r="I38" s="3" t="s">
        <v>202</v>
      </c>
      <c r="J38" s="3"/>
    </row>
    <row r="39" spans="1:10" ht="96" customHeight="1" x14ac:dyDescent="0.25">
      <c r="A39" s="2">
        <v>6</v>
      </c>
      <c r="B39" s="3" t="s">
        <v>203</v>
      </c>
      <c r="C39" s="15">
        <f>Resumen!N10</f>
        <v>2</v>
      </c>
      <c r="D39" s="2">
        <v>1</v>
      </c>
      <c r="E39" s="3" t="s">
        <v>204</v>
      </c>
      <c r="F39" s="16" t="s">
        <v>83</v>
      </c>
      <c r="G39" s="3" t="s">
        <v>205</v>
      </c>
      <c r="H39" s="3" t="s">
        <v>206</v>
      </c>
      <c r="I39" s="3" t="s">
        <v>207</v>
      </c>
      <c r="J39" s="3"/>
    </row>
    <row r="40" spans="1:10" ht="96" customHeight="1" x14ac:dyDescent="0.25">
      <c r="A40" s="2">
        <v>6</v>
      </c>
      <c r="B40" s="3" t="s">
        <v>203</v>
      </c>
      <c r="C40" s="15">
        <f>Resumen!N10</f>
        <v>2</v>
      </c>
      <c r="D40" s="2">
        <v>2</v>
      </c>
      <c r="E40" s="3" t="s">
        <v>7</v>
      </c>
      <c r="F40" s="16" t="s">
        <v>83</v>
      </c>
      <c r="G40" s="3" t="s">
        <v>208</v>
      </c>
      <c r="H40" s="3" t="s">
        <v>209</v>
      </c>
      <c r="I40" s="3" t="s">
        <v>210</v>
      </c>
      <c r="J40" s="3"/>
    </row>
    <row r="41" spans="1:10" ht="96" customHeight="1" x14ac:dyDescent="0.25">
      <c r="A41" s="2">
        <v>6</v>
      </c>
      <c r="B41" s="3" t="s">
        <v>203</v>
      </c>
      <c r="C41" s="15">
        <f>Resumen!N10</f>
        <v>2</v>
      </c>
      <c r="D41" s="2">
        <v>3</v>
      </c>
      <c r="E41" s="3" t="s">
        <v>10</v>
      </c>
      <c r="F41" s="16" t="s">
        <v>83</v>
      </c>
      <c r="G41" s="3" t="s">
        <v>211</v>
      </c>
      <c r="H41" s="3" t="s">
        <v>212</v>
      </c>
      <c r="I41" s="3" t="s">
        <v>213</v>
      </c>
      <c r="J41" s="3"/>
    </row>
    <row r="42" spans="1:10" ht="96" customHeight="1" x14ac:dyDescent="0.25">
      <c r="A42" s="2">
        <v>6</v>
      </c>
      <c r="B42" s="3" t="s">
        <v>203</v>
      </c>
      <c r="C42" s="15">
        <f>Resumen!N10</f>
        <v>2</v>
      </c>
      <c r="D42" s="2">
        <v>4</v>
      </c>
      <c r="E42" s="3" t="s">
        <v>11</v>
      </c>
      <c r="F42" s="16" t="s">
        <v>83</v>
      </c>
      <c r="G42" s="3" t="s">
        <v>214</v>
      </c>
      <c r="H42" s="3" t="s">
        <v>215</v>
      </c>
      <c r="I42" s="3" t="s">
        <v>216</v>
      </c>
      <c r="J42" s="3"/>
    </row>
    <row r="43" spans="1:10" ht="96" customHeight="1" x14ac:dyDescent="0.25">
      <c r="A43" s="2">
        <v>6</v>
      </c>
      <c r="B43" s="3" t="s">
        <v>203</v>
      </c>
      <c r="C43" s="15">
        <f>Resumen!N10</f>
        <v>2</v>
      </c>
      <c r="D43" s="2">
        <v>5</v>
      </c>
      <c r="E43" s="3" t="s">
        <v>9</v>
      </c>
      <c r="F43" s="18" t="s">
        <v>96</v>
      </c>
      <c r="G43" s="3" t="s">
        <v>217</v>
      </c>
      <c r="H43" s="3" t="s">
        <v>218</v>
      </c>
      <c r="I43" s="3" t="s">
        <v>219</v>
      </c>
      <c r="J43" s="3" t="s">
        <v>220</v>
      </c>
    </row>
    <row r="44" spans="1:10" ht="111" customHeight="1" x14ac:dyDescent="0.25">
      <c r="A44" s="2">
        <v>6</v>
      </c>
      <c r="B44" s="3" t="s">
        <v>203</v>
      </c>
      <c r="C44" s="15">
        <f>Resumen!N10</f>
        <v>2</v>
      </c>
      <c r="D44" s="2">
        <v>6</v>
      </c>
      <c r="E44" s="3" t="s">
        <v>221</v>
      </c>
      <c r="F44" s="18" t="s">
        <v>96</v>
      </c>
      <c r="G44" s="3" t="s">
        <v>222</v>
      </c>
      <c r="H44" s="3" t="s">
        <v>223</v>
      </c>
      <c r="I44" s="3" t="s">
        <v>224</v>
      </c>
      <c r="J44" s="3"/>
    </row>
    <row r="45" spans="1:10" ht="96" customHeight="1" x14ac:dyDescent="0.25">
      <c r="A45" s="2">
        <v>6</v>
      </c>
      <c r="B45" s="3" t="s">
        <v>203</v>
      </c>
      <c r="C45" s="15">
        <f>Resumen!N10</f>
        <v>2</v>
      </c>
      <c r="D45" s="2">
        <v>7</v>
      </c>
      <c r="E45" s="3" t="s">
        <v>225</v>
      </c>
      <c r="F45" s="19" t="s">
        <v>122</v>
      </c>
      <c r="G45" s="3" t="s">
        <v>226</v>
      </c>
      <c r="H45" s="3" t="s">
        <v>227</v>
      </c>
      <c r="I45" s="3" t="s">
        <v>228</v>
      </c>
      <c r="J45" s="3"/>
    </row>
    <row r="46" spans="1:10" ht="81" customHeight="1" x14ac:dyDescent="0.25">
      <c r="A46" s="2">
        <v>7</v>
      </c>
      <c r="B46" s="3" t="s">
        <v>229</v>
      </c>
      <c r="C46" s="15">
        <f>Resumen!N11</f>
        <v>0</v>
      </c>
      <c r="D46" s="2">
        <v>1</v>
      </c>
      <c r="E46" s="3" t="s">
        <v>82</v>
      </c>
      <c r="F46" s="16" t="s">
        <v>83</v>
      </c>
      <c r="G46" s="3" t="s">
        <v>84</v>
      </c>
      <c r="H46" s="3" t="s">
        <v>85</v>
      </c>
      <c r="I46" s="3" t="s">
        <v>86</v>
      </c>
      <c r="J46" s="3"/>
    </row>
    <row r="47" spans="1:10" ht="81" customHeight="1" x14ac:dyDescent="0.25">
      <c r="A47" s="2">
        <v>7</v>
      </c>
      <c r="B47" s="3" t="s">
        <v>229</v>
      </c>
      <c r="C47" s="15">
        <f>Resumen!N11</f>
        <v>0</v>
      </c>
      <c r="D47" s="2">
        <v>2</v>
      </c>
      <c r="E47" s="3" t="s">
        <v>87</v>
      </c>
      <c r="F47" s="17" t="s">
        <v>88</v>
      </c>
      <c r="G47" s="3" t="s">
        <v>230</v>
      </c>
      <c r="H47" s="3" t="s">
        <v>19</v>
      </c>
      <c r="I47" s="3" t="s">
        <v>231</v>
      </c>
      <c r="J47" s="3"/>
    </row>
  </sheetData>
  <autoFilter ref="A4:J47" xr:uid="{00000000-0009-0000-0000-000001000000}"/>
  <mergeCells count="2">
    <mergeCell ref="A1:J1"/>
    <mergeCell ref="A2:J2"/>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5"/>
  <sheetViews>
    <sheetView zoomScale="90" workbookViewId="0">
      <pane ySplit="13" topLeftCell="A14" activePane="bottomLeft" state="frozen"/>
      <selection pane="bottomLeft" activeCell="D26" sqref="D26"/>
    </sheetView>
  </sheetViews>
  <sheetFormatPr baseColWidth="10" defaultColWidth="9.140625" defaultRowHeight="15" x14ac:dyDescent="0.25"/>
  <cols>
    <col min="1" max="1" width="5" customWidth="1"/>
    <col min="2" max="2" width="16" customWidth="1"/>
    <col min="3" max="3" width="13" customWidth="1"/>
    <col min="4" max="4" width="45" customWidth="1"/>
    <col min="5" max="5" width="60" customWidth="1"/>
    <col min="6" max="6" width="55" customWidth="1"/>
    <col min="7" max="7" width="45" customWidth="1"/>
  </cols>
  <sheetData>
    <row r="1" spans="1:7" ht="27.95" customHeight="1" x14ac:dyDescent="0.25">
      <c r="A1" s="27" t="s">
        <v>232</v>
      </c>
      <c r="B1" s="28"/>
      <c r="C1" s="28"/>
      <c r="D1" s="28"/>
      <c r="E1" s="28"/>
      <c r="F1" s="28"/>
      <c r="G1" s="28"/>
    </row>
    <row r="2" spans="1:7" ht="42" customHeight="1" x14ac:dyDescent="0.25">
      <c r="A2" s="34" t="s">
        <v>233</v>
      </c>
      <c r="B2" s="28"/>
      <c r="C2" s="28"/>
      <c r="D2" s="28"/>
      <c r="E2" s="28"/>
      <c r="F2" s="28"/>
      <c r="G2" s="28"/>
    </row>
    <row r="4" spans="1:7" ht="21" customHeight="1" x14ac:dyDescent="0.25">
      <c r="A4" s="38" t="s">
        <v>3</v>
      </c>
      <c r="B4" s="28"/>
      <c r="C4" s="31" t="s">
        <v>81</v>
      </c>
      <c r="D4" s="28"/>
      <c r="E4" s="28"/>
      <c r="F4" s="28"/>
      <c r="G4" s="28"/>
    </row>
    <row r="5" spans="1:7" ht="21" customHeight="1" x14ac:dyDescent="0.25">
      <c r="A5" s="38" t="s">
        <v>4</v>
      </c>
      <c r="B5" s="28"/>
      <c r="C5" s="31" t="s">
        <v>18</v>
      </c>
      <c r="D5" s="28"/>
      <c r="E5" s="28"/>
      <c r="F5" s="28"/>
      <c r="G5" s="28"/>
    </row>
    <row r="6" spans="1:7" ht="21" customHeight="1" x14ac:dyDescent="0.25">
      <c r="A6" s="38" t="s">
        <v>5</v>
      </c>
      <c r="B6" s="28"/>
      <c r="C6" s="31" t="s">
        <v>19</v>
      </c>
      <c r="D6" s="28"/>
      <c r="E6" s="28"/>
      <c r="F6" s="28"/>
      <c r="G6" s="28"/>
    </row>
    <row r="7" spans="1:7" ht="21" customHeight="1" x14ac:dyDescent="0.25">
      <c r="A7" s="38" t="s">
        <v>6</v>
      </c>
      <c r="B7" s="28"/>
      <c r="C7" s="31" t="s">
        <v>20</v>
      </c>
      <c r="D7" s="28"/>
      <c r="E7" s="28"/>
      <c r="F7" s="28"/>
      <c r="G7" s="28"/>
    </row>
    <row r="8" spans="1:7" ht="21" customHeight="1" x14ac:dyDescent="0.25">
      <c r="A8" s="38" t="s">
        <v>14</v>
      </c>
      <c r="B8" s="28"/>
      <c r="C8" s="40" t="s">
        <v>234</v>
      </c>
      <c r="D8" s="28"/>
      <c r="E8" s="28"/>
      <c r="F8" s="28"/>
      <c r="G8" s="28"/>
    </row>
    <row r="9" spans="1:7" ht="21" customHeight="1" x14ac:dyDescent="0.25">
      <c r="A9" s="38" t="s">
        <v>12</v>
      </c>
      <c r="B9" s="28"/>
      <c r="C9" s="39">
        <f>Resumen!N5</f>
        <v>0</v>
      </c>
      <c r="D9" s="28"/>
      <c r="E9" s="28"/>
      <c r="F9" s="28"/>
      <c r="G9" s="28"/>
    </row>
    <row r="10" spans="1:7" ht="21" customHeight="1" x14ac:dyDescent="0.25">
      <c r="A10" s="38" t="s">
        <v>235</v>
      </c>
      <c r="B10" s="28"/>
      <c r="C10" s="31" t="str">
        <f>"Problemática "&amp;FIXED(Resumen!G5,2)&amp;" · Pregunta "&amp;FIXED(Resumen!I5,2)&amp;" · Hipótesis "&amp;FIXED(Resumen!K5,2)&amp;" · Objetivos "&amp;FIXED(Resumen!M5,2)&amp;"  (cada uno sobre 2,5)  ·  Equivalencia Fase 1: "&amp;FIXED(Resumen!O5,2)&amp;" / 0,30"</f>
        <v>Problemática 0.00 · Pregunta 0.00 · Hipótesis 0.00 · Objetivos 0.00  (cada uno sobre 2,5)  ·  Equivalencia Fase 1: 0.00 / 0,30</v>
      </c>
      <c r="D10" s="28"/>
      <c r="E10" s="28"/>
      <c r="F10" s="28"/>
      <c r="G10" s="28"/>
    </row>
    <row r="11" spans="1:7" ht="21" customHeight="1" x14ac:dyDescent="0.25">
      <c r="A11" s="38" t="s">
        <v>16</v>
      </c>
      <c r="B11" s="28"/>
      <c r="C11" s="31" t="s">
        <v>24</v>
      </c>
      <c r="D11" s="28"/>
      <c r="E11" s="28"/>
      <c r="F11" s="28"/>
      <c r="G11" s="28"/>
    </row>
    <row r="13" spans="1:7" ht="32.1" customHeight="1" x14ac:dyDescent="0.25">
      <c r="A13" s="1" t="s">
        <v>74</v>
      </c>
      <c r="B13" s="1" t="s">
        <v>75</v>
      </c>
      <c r="C13" s="1" t="s">
        <v>76</v>
      </c>
      <c r="D13" s="1" t="s">
        <v>77</v>
      </c>
      <c r="E13" s="1" t="s">
        <v>78</v>
      </c>
      <c r="F13" s="1" t="s">
        <v>79</v>
      </c>
      <c r="G13" s="1" t="s">
        <v>80</v>
      </c>
    </row>
    <row r="14" spans="1:7" ht="81" customHeight="1" x14ac:dyDescent="0.25">
      <c r="A14" s="2">
        <v>1</v>
      </c>
      <c r="B14" s="3" t="s">
        <v>82</v>
      </c>
      <c r="C14" s="16" t="s">
        <v>83</v>
      </c>
      <c r="D14" s="3" t="s">
        <v>84</v>
      </c>
      <c r="E14" s="3" t="s">
        <v>85</v>
      </c>
      <c r="F14" s="3" t="s">
        <v>86</v>
      </c>
      <c r="G14" s="3"/>
    </row>
    <row r="15" spans="1:7" ht="66" customHeight="1" x14ac:dyDescent="0.25">
      <c r="A15" s="2">
        <v>2</v>
      </c>
      <c r="B15" s="3" t="s">
        <v>87</v>
      </c>
      <c r="C15" s="17" t="s">
        <v>88</v>
      </c>
      <c r="D15" s="3" t="s">
        <v>89</v>
      </c>
      <c r="E15" s="3" t="s">
        <v>19</v>
      </c>
      <c r="F15" s="3" t="s">
        <v>90</v>
      </c>
      <c r="G15" s="3"/>
    </row>
  </sheetData>
  <mergeCells count="18">
    <mergeCell ref="A4:B4"/>
    <mergeCell ref="C8:G8"/>
    <mergeCell ref="C4:G4"/>
    <mergeCell ref="C7:G7"/>
    <mergeCell ref="A1:G1"/>
    <mergeCell ref="A7:B7"/>
    <mergeCell ref="C6:G6"/>
    <mergeCell ref="A2:G2"/>
    <mergeCell ref="C10:G10"/>
    <mergeCell ref="A11:B11"/>
    <mergeCell ref="A10:B10"/>
    <mergeCell ref="A5:B5"/>
    <mergeCell ref="C11:G11"/>
    <mergeCell ref="C5:G5"/>
    <mergeCell ref="A9:B9"/>
    <mergeCell ref="A8:B8"/>
    <mergeCell ref="C9:G9"/>
    <mergeCell ref="A6:B6"/>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2"/>
  <sheetViews>
    <sheetView zoomScale="90" workbookViewId="0">
      <pane ySplit="13" topLeftCell="A14" activePane="bottomLeft" state="frozen"/>
      <selection pane="bottomLeft" sqref="A1:G1"/>
    </sheetView>
  </sheetViews>
  <sheetFormatPr baseColWidth="10" defaultColWidth="9.140625" defaultRowHeight="15" x14ac:dyDescent="0.25"/>
  <cols>
    <col min="1" max="1" width="5" customWidth="1"/>
    <col min="2" max="2" width="16" customWidth="1"/>
    <col min="3" max="3" width="13" customWidth="1"/>
    <col min="4" max="4" width="45" customWidth="1"/>
    <col min="5" max="5" width="60" customWidth="1"/>
    <col min="6" max="6" width="55" customWidth="1"/>
    <col min="7" max="7" width="45" customWidth="1"/>
  </cols>
  <sheetData>
    <row r="1" spans="1:7" ht="27.95" customHeight="1" x14ac:dyDescent="0.25">
      <c r="A1" s="27" t="s">
        <v>236</v>
      </c>
      <c r="B1" s="28"/>
      <c r="C1" s="28"/>
      <c r="D1" s="28"/>
      <c r="E1" s="28"/>
      <c r="F1" s="28"/>
      <c r="G1" s="28"/>
    </row>
    <row r="2" spans="1:7" ht="42" customHeight="1" x14ac:dyDescent="0.25">
      <c r="A2" s="34" t="s">
        <v>233</v>
      </c>
      <c r="B2" s="28"/>
      <c r="C2" s="28"/>
      <c r="D2" s="28"/>
      <c r="E2" s="28"/>
      <c r="F2" s="28"/>
      <c r="G2" s="28"/>
    </row>
    <row r="4" spans="1:7" ht="21" customHeight="1" x14ac:dyDescent="0.25">
      <c r="A4" s="38" t="s">
        <v>3</v>
      </c>
      <c r="B4" s="28"/>
      <c r="C4" s="31" t="s">
        <v>91</v>
      </c>
      <c r="D4" s="28"/>
      <c r="E4" s="28"/>
      <c r="F4" s="28"/>
      <c r="G4" s="28"/>
    </row>
    <row r="5" spans="1:7" ht="21" customHeight="1" x14ac:dyDescent="0.25">
      <c r="A5" s="38" t="s">
        <v>4</v>
      </c>
      <c r="B5" s="28"/>
      <c r="C5" s="31" t="s">
        <v>26</v>
      </c>
      <c r="D5" s="28"/>
      <c r="E5" s="28"/>
      <c r="F5" s="28"/>
      <c r="G5" s="28"/>
    </row>
    <row r="6" spans="1:7" ht="21" customHeight="1" x14ac:dyDescent="0.25">
      <c r="A6" s="38" t="s">
        <v>5</v>
      </c>
      <c r="B6" s="28"/>
      <c r="C6" s="31" t="s">
        <v>27</v>
      </c>
      <c r="D6" s="28"/>
      <c r="E6" s="28"/>
      <c r="F6" s="28"/>
      <c r="G6" s="28"/>
    </row>
    <row r="7" spans="1:7" ht="21" customHeight="1" x14ac:dyDescent="0.25">
      <c r="A7" s="38" t="s">
        <v>6</v>
      </c>
      <c r="B7" s="28"/>
      <c r="C7" s="31" t="s">
        <v>28</v>
      </c>
      <c r="D7" s="28"/>
      <c r="E7" s="28"/>
      <c r="F7" s="28"/>
      <c r="G7" s="28"/>
    </row>
    <row r="8" spans="1:7" ht="21" customHeight="1" x14ac:dyDescent="0.25">
      <c r="A8" s="38" t="s">
        <v>14</v>
      </c>
      <c r="B8" s="28"/>
      <c r="C8" s="41" t="s">
        <v>237</v>
      </c>
      <c r="D8" s="28"/>
      <c r="E8" s="28"/>
      <c r="F8" s="28"/>
      <c r="G8" s="28"/>
    </row>
    <row r="9" spans="1:7" ht="21" customHeight="1" x14ac:dyDescent="0.25">
      <c r="A9" s="38" t="s">
        <v>12</v>
      </c>
      <c r="B9" s="28"/>
      <c r="C9" s="39">
        <f>Resumen!N6</f>
        <v>3.75</v>
      </c>
      <c r="D9" s="28"/>
      <c r="E9" s="28"/>
      <c r="F9" s="28"/>
      <c r="G9" s="28"/>
    </row>
    <row r="10" spans="1:7" ht="21" customHeight="1" x14ac:dyDescent="0.25">
      <c r="A10" s="38" t="s">
        <v>235</v>
      </c>
      <c r="B10" s="28"/>
      <c r="C10" s="31" t="str">
        <f>"Problemática "&amp;FIXED(Resumen!G6,2)&amp;" · Pregunta "&amp;FIXED(Resumen!I6,2)&amp;" · Hipótesis "&amp;FIXED(Resumen!K6,2)&amp;" · Objetivos "&amp;FIXED(Resumen!M6,2)&amp;"  (cada uno sobre 2,5)  ·  Equivalencia Fase 1: "&amp;FIXED(Resumen!O6,2)&amp;" / 0,30"</f>
        <v>Problemática 1.25 · Pregunta 0.75 · Hipótesis 0.75 · Objetivos 1.00  (cada uno sobre 2,5)  ·  Equivalencia Fase 1: 0.11 / 0,30</v>
      </c>
      <c r="D10" s="28"/>
      <c r="E10" s="28"/>
      <c r="F10" s="28"/>
      <c r="G10" s="28"/>
    </row>
    <row r="11" spans="1:7" ht="36" customHeight="1" x14ac:dyDescent="0.25">
      <c r="A11" s="38" t="s">
        <v>16</v>
      </c>
      <c r="B11" s="28"/>
      <c r="C11" s="31" t="s">
        <v>32</v>
      </c>
      <c r="D11" s="28"/>
      <c r="E11" s="28"/>
      <c r="F11" s="28"/>
      <c r="G11" s="28"/>
    </row>
    <row r="13" spans="1:7" ht="32.1" customHeight="1" x14ac:dyDescent="0.25">
      <c r="A13" s="1" t="s">
        <v>74</v>
      </c>
      <c r="B13" s="1" t="s">
        <v>75</v>
      </c>
      <c r="C13" s="1" t="s">
        <v>76</v>
      </c>
      <c r="D13" s="1" t="s">
        <v>77</v>
      </c>
      <c r="E13" s="1" t="s">
        <v>78</v>
      </c>
      <c r="F13" s="1" t="s">
        <v>79</v>
      </c>
      <c r="G13" s="1" t="s">
        <v>80</v>
      </c>
    </row>
    <row r="14" spans="1:7" ht="66" customHeight="1" x14ac:dyDescent="0.25">
      <c r="A14" s="2">
        <v>1</v>
      </c>
      <c r="B14" s="3" t="s">
        <v>92</v>
      </c>
      <c r="C14" s="16" t="s">
        <v>83</v>
      </c>
      <c r="D14" s="3" t="s">
        <v>93</v>
      </c>
      <c r="E14" s="3" t="s">
        <v>94</v>
      </c>
      <c r="F14" s="3" t="s">
        <v>95</v>
      </c>
      <c r="G14" s="3"/>
    </row>
    <row r="15" spans="1:7" ht="96" customHeight="1" x14ac:dyDescent="0.25">
      <c r="A15" s="2">
        <v>2</v>
      </c>
      <c r="B15" s="3" t="s">
        <v>7</v>
      </c>
      <c r="C15" s="18" t="s">
        <v>96</v>
      </c>
      <c r="D15" s="3" t="s">
        <v>97</v>
      </c>
      <c r="E15" s="3" t="s">
        <v>98</v>
      </c>
      <c r="F15" s="3" t="s">
        <v>99</v>
      </c>
      <c r="G15" s="3"/>
    </row>
    <row r="16" spans="1:7" ht="81" customHeight="1" x14ac:dyDescent="0.25">
      <c r="A16" s="2">
        <v>3</v>
      </c>
      <c r="B16" s="3" t="s">
        <v>7</v>
      </c>
      <c r="C16" s="18" t="s">
        <v>96</v>
      </c>
      <c r="D16" s="3" t="s">
        <v>100</v>
      </c>
      <c r="E16" s="3" t="s">
        <v>101</v>
      </c>
      <c r="F16" s="3" t="s">
        <v>102</v>
      </c>
      <c r="G16" s="3"/>
    </row>
    <row r="17" spans="1:7" ht="96" customHeight="1" x14ac:dyDescent="0.25">
      <c r="A17" s="2">
        <v>4</v>
      </c>
      <c r="B17" s="3" t="s">
        <v>9</v>
      </c>
      <c r="C17" s="18" t="s">
        <v>96</v>
      </c>
      <c r="D17" s="3" t="s">
        <v>103</v>
      </c>
      <c r="E17" s="3" t="s">
        <v>104</v>
      </c>
      <c r="F17" s="3" t="s">
        <v>105</v>
      </c>
      <c r="G17" s="3" t="s">
        <v>106</v>
      </c>
    </row>
    <row r="18" spans="1:7" ht="96" customHeight="1" x14ac:dyDescent="0.25">
      <c r="A18" s="2">
        <v>5</v>
      </c>
      <c r="B18" s="3" t="s">
        <v>10</v>
      </c>
      <c r="C18" s="18" t="s">
        <v>96</v>
      </c>
      <c r="D18" s="3" t="s">
        <v>107</v>
      </c>
      <c r="E18" s="3" t="s">
        <v>108</v>
      </c>
      <c r="F18" s="3" t="s">
        <v>109</v>
      </c>
      <c r="G18" s="3" t="s">
        <v>110</v>
      </c>
    </row>
    <row r="19" spans="1:7" ht="81" customHeight="1" x14ac:dyDescent="0.25">
      <c r="A19" s="2">
        <v>6</v>
      </c>
      <c r="B19" s="3" t="s">
        <v>11</v>
      </c>
      <c r="C19" s="18" t="s">
        <v>96</v>
      </c>
      <c r="D19" s="3" t="s">
        <v>111</v>
      </c>
      <c r="E19" s="3" t="s">
        <v>112</v>
      </c>
      <c r="F19" s="3" t="s">
        <v>113</v>
      </c>
      <c r="G19" s="3"/>
    </row>
    <row r="20" spans="1:7" ht="66" customHeight="1" x14ac:dyDescent="0.25">
      <c r="A20" s="2">
        <v>7</v>
      </c>
      <c r="B20" s="3" t="s">
        <v>114</v>
      </c>
      <c r="C20" s="18" t="s">
        <v>96</v>
      </c>
      <c r="D20" s="3" t="s">
        <v>115</v>
      </c>
      <c r="E20" s="3" t="s">
        <v>116</v>
      </c>
      <c r="F20" s="3" t="s">
        <v>117</v>
      </c>
      <c r="G20" s="3"/>
    </row>
    <row r="21" spans="1:7" ht="66" customHeight="1" x14ac:dyDescent="0.25">
      <c r="A21" s="2">
        <v>8</v>
      </c>
      <c r="B21" s="3" t="s">
        <v>118</v>
      </c>
      <c r="C21" s="18" t="s">
        <v>96</v>
      </c>
      <c r="D21" s="3" t="s">
        <v>119</v>
      </c>
      <c r="E21" s="3" t="s">
        <v>120</v>
      </c>
      <c r="F21" s="3" t="s">
        <v>121</v>
      </c>
      <c r="G21" s="3"/>
    </row>
    <row r="22" spans="1:7" ht="51" customHeight="1" x14ac:dyDescent="0.25">
      <c r="A22" s="2">
        <v>9</v>
      </c>
      <c r="B22" s="3" t="s">
        <v>7</v>
      </c>
      <c r="C22" s="19" t="s">
        <v>122</v>
      </c>
      <c r="D22" s="3" t="s">
        <v>123</v>
      </c>
      <c r="E22" s="3" t="s">
        <v>124</v>
      </c>
      <c r="F22" s="3" t="s">
        <v>125</v>
      </c>
      <c r="G22" s="3"/>
    </row>
  </sheetData>
  <mergeCells count="18">
    <mergeCell ref="A4:B4"/>
    <mergeCell ref="C8:G8"/>
    <mergeCell ref="C4:G4"/>
    <mergeCell ref="C7:G7"/>
    <mergeCell ref="A1:G1"/>
    <mergeCell ref="A7:B7"/>
    <mergeCell ref="C6:G6"/>
    <mergeCell ref="A2:G2"/>
    <mergeCell ref="C10:G10"/>
    <mergeCell ref="A11:B11"/>
    <mergeCell ref="A10:B10"/>
    <mergeCell ref="A5:B5"/>
    <mergeCell ref="C11:G11"/>
    <mergeCell ref="C5:G5"/>
    <mergeCell ref="A9:B9"/>
    <mergeCell ref="A8:B8"/>
    <mergeCell ref="C9:G9"/>
    <mergeCell ref="A6:B6"/>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1"/>
  <sheetViews>
    <sheetView zoomScale="90" workbookViewId="0">
      <pane ySplit="13" topLeftCell="A14" activePane="bottomLeft" state="frozen"/>
      <selection pane="bottomLeft" sqref="A1:G1"/>
    </sheetView>
  </sheetViews>
  <sheetFormatPr baseColWidth="10" defaultColWidth="9.140625" defaultRowHeight="15" x14ac:dyDescent="0.25"/>
  <cols>
    <col min="1" max="1" width="5" customWidth="1"/>
    <col min="2" max="2" width="16" customWidth="1"/>
    <col min="3" max="3" width="13" customWidth="1"/>
    <col min="4" max="4" width="45" customWidth="1"/>
    <col min="5" max="5" width="60" customWidth="1"/>
    <col min="6" max="6" width="55" customWidth="1"/>
    <col min="7" max="7" width="45" customWidth="1"/>
  </cols>
  <sheetData>
    <row r="1" spans="1:7" ht="27.95" customHeight="1" x14ac:dyDescent="0.25">
      <c r="A1" s="27" t="s">
        <v>238</v>
      </c>
      <c r="B1" s="28"/>
      <c r="C1" s="28"/>
      <c r="D1" s="28"/>
      <c r="E1" s="28"/>
      <c r="F1" s="28"/>
      <c r="G1" s="28"/>
    </row>
    <row r="2" spans="1:7" ht="42" customHeight="1" x14ac:dyDescent="0.25">
      <c r="A2" s="34" t="s">
        <v>233</v>
      </c>
      <c r="B2" s="28"/>
      <c r="C2" s="28"/>
      <c r="D2" s="28"/>
      <c r="E2" s="28"/>
      <c r="F2" s="28"/>
      <c r="G2" s="28"/>
    </row>
    <row r="4" spans="1:7" ht="21" customHeight="1" x14ac:dyDescent="0.25">
      <c r="A4" s="38" t="s">
        <v>3</v>
      </c>
      <c r="B4" s="28"/>
      <c r="C4" s="31" t="s">
        <v>126</v>
      </c>
      <c r="D4" s="28"/>
      <c r="E4" s="28"/>
      <c r="F4" s="28"/>
      <c r="G4" s="28"/>
    </row>
    <row r="5" spans="1:7" ht="21" customHeight="1" x14ac:dyDescent="0.25">
      <c r="A5" s="38" t="s">
        <v>4</v>
      </c>
      <c r="B5" s="28"/>
      <c r="C5" s="31" t="s">
        <v>34</v>
      </c>
      <c r="D5" s="28"/>
      <c r="E5" s="28"/>
      <c r="F5" s="28"/>
      <c r="G5" s="28"/>
    </row>
    <row r="6" spans="1:7" ht="21" customHeight="1" x14ac:dyDescent="0.25">
      <c r="A6" s="38" t="s">
        <v>5</v>
      </c>
      <c r="B6" s="28"/>
      <c r="C6" s="31" t="s">
        <v>35</v>
      </c>
      <c r="D6" s="28"/>
      <c r="E6" s="28"/>
      <c r="F6" s="28"/>
      <c r="G6" s="28"/>
    </row>
    <row r="7" spans="1:7" ht="21" customHeight="1" x14ac:dyDescent="0.25">
      <c r="A7" s="38" t="s">
        <v>6</v>
      </c>
      <c r="B7" s="28"/>
      <c r="C7" s="31" t="s">
        <v>36</v>
      </c>
      <c r="D7" s="28"/>
      <c r="E7" s="28"/>
      <c r="F7" s="28"/>
      <c r="G7" s="28"/>
    </row>
    <row r="8" spans="1:7" ht="21" customHeight="1" x14ac:dyDescent="0.25">
      <c r="A8" s="38" t="s">
        <v>14</v>
      </c>
      <c r="B8" s="28"/>
      <c r="C8" s="41" t="s">
        <v>239</v>
      </c>
      <c r="D8" s="28"/>
      <c r="E8" s="28"/>
      <c r="F8" s="28"/>
      <c r="G8" s="28"/>
    </row>
    <row r="9" spans="1:7" ht="21" customHeight="1" x14ac:dyDescent="0.25">
      <c r="A9" s="38" t="s">
        <v>12</v>
      </c>
      <c r="B9" s="28"/>
      <c r="C9" s="39">
        <f>Resumen!N7</f>
        <v>4.25</v>
      </c>
      <c r="D9" s="28"/>
      <c r="E9" s="28"/>
      <c r="F9" s="28"/>
      <c r="G9" s="28"/>
    </row>
    <row r="10" spans="1:7" ht="21" customHeight="1" x14ac:dyDescent="0.25">
      <c r="A10" s="38" t="s">
        <v>235</v>
      </c>
      <c r="B10" s="28"/>
      <c r="C10" s="31" t="str">
        <f>"Problemática "&amp;FIXED(Resumen!G7,2)&amp;" · Pregunta "&amp;FIXED(Resumen!I7,2)&amp;" · Hipótesis "&amp;FIXED(Resumen!K7,2)&amp;" · Objetivos "&amp;FIXED(Resumen!M7,2)&amp;"  (cada uno sobre 2,5)  ·  Equivalencia Fase 1: "&amp;FIXED(Resumen!O7,2)&amp;" / 0,30"</f>
        <v>Problemática 1.00 · Pregunta 0.75 · Hipótesis 1.00 · Objetivos 1.50  (cada uno sobre 2,5)  ·  Equivalencia Fase 1: 0.13 / 0,30</v>
      </c>
      <c r="D10" s="28"/>
      <c r="E10" s="28"/>
      <c r="F10" s="28"/>
      <c r="G10" s="28"/>
    </row>
    <row r="11" spans="1:7" ht="21" customHeight="1" x14ac:dyDescent="0.25">
      <c r="A11" s="38" t="s">
        <v>16</v>
      </c>
      <c r="B11" s="28"/>
      <c r="C11" s="31" t="s">
        <v>38</v>
      </c>
      <c r="D11" s="28"/>
      <c r="E11" s="28"/>
      <c r="F11" s="28"/>
      <c r="G11" s="28"/>
    </row>
    <row r="13" spans="1:7" ht="32.1" customHeight="1" x14ac:dyDescent="0.25">
      <c r="A13" s="1" t="s">
        <v>74</v>
      </c>
      <c r="B13" s="1" t="s">
        <v>75</v>
      </c>
      <c r="C13" s="1" t="s">
        <v>76</v>
      </c>
      <c r="D13" s="1" t="s">
        <v>77</v>
      </c>
      <c r="E13" s="1" t="s">
        <v>78</v>
      </c>
      <c r="F13" s="1" t="s">
        <v>79</v>
      </c>
      <c r="G13" s="1" t="s">
        <v>80</v>
      </c>
    </row>
    <row r="14" spans="1:7" ht="66" customHeight="1" x14ac:dyDescent="0.25">
      <c r="A14" s="2">
        <v>1</v>
      </c>
      <c r="B14" s="3" t="s">
        <v>92</v>
      </c>
      <c r="C14" s="16" t="s">
        <v>83</v>
      </c>
      <c r="D14" s="3" t="s">
        <v>127</v>
      </c>
      <c r="E14" s="3" t="s">
        <v>128</v>
      </c>
      <c r="F14" s="3" t="s">
        <v>129</v>
      </c>
      <c r="G14" s="3"/>
    </row>
    <row r="15" spans="1:7" ht="96" customHeight="1" x14ac:dyDescent="0.25">
      <c r="A15" s="2">
        <v>2</v>
      </c>
      <c r="B15" s="3" t="s">
        <v>130</v>
      </c>
      <c r="C15" s="16" t="s">
        <v>83</v>
      </c>
      <c r="D15" s="3" t="s">
        <v>131</v>
      </c>
      <c r="E15" s="3" t="s">
        <v>132</v>
      </c>
      <c r="F15" s="3" t="s">
        <v>133</v>
      </c>
      <c r="G15" s="3"/>
    </row>
    <row r="16" spans="1:7" ht="81" customHeight="1" x14ac:dyDescent="0.25">
      <c r="A16" s="2">
        <v>3</v>
      </c>
      <c r="B16" s="3" t="s">
        <v>7</v>
      </c>
      <c r="C16" s="16" t="s">
        <v>83</v>
      </c>
      <c r="D16" s="3" t="s">
        <v>134</v>
      </c>
      <c r="E16" s="3" t="s">
        <v>135</v>
      </c>
      <c r="F16" s="3" t="s">
        <v>136</v>
      </c>
      <c r="G16" s="3"/>
    </row>
    <row r="17" spans="1:7" ht="96" customHeight="1" x14ac:dyDescent="0.25">
      <c r="A17" s="2">
        <v>4</v>
      </c>
      <c r="B17" s="3" t="s">
        <v>9</v>
      </c>
      <c r="C17" s="18" t="s">
        <v>96</v>
      </c>
      <c r="D17" s="3" t="s">
        <v>137</v>
      </c>
      <c r="E17" s="3" t="s">
        <v>138</v>
      </c>
      <c r="F17" s="3" t="s">
        <v>139</v>
      </c>
      <c r="G17" s="3" t="s">
        <v>140</v>
      </c>
    </row>
    <row r="18" spans="1:7" ht="81" customHeight="1" x14ac:dyDescent="0.25">
      <c r="A18" s="2">
        <v>5</v>
      </c>
      <c r="B18" s="3" t="s">
        <v>10</v>
      </c>
      <c r="C18" s="18" t="s">
        <v>96</v>
      </c>
      <c r="D18" s="3" t="s">
        <v>141</v>
      </c>
      <c r="E18" s="3" t="s">
        <v>142</v>
      </c>
      <c r="F18" s="3" t="s">
        <v>143</v>
      </c>
      <c r="G18" s="3"/>
    </row>
    <row r="19" spans="1:7" ht="66" customHeight="1" x14ac:dyDescent="0.25">
      <c r="A19" s="2">
        <v>6</v>
      </c>
      <c r="B19" s="3" t="s">
        <v>11</v>
      </c>
      <c r="C19" s="18" t="s">
        <v>96</v>
      </c>
      <c r="D19" s="3" t="s">
        <v>144</v>
      </c>
      <c r="E19" s="3" t="s">
        <v>145</v>
      </c>
      <c r="F19" s="3" t="s">
        <v>146</v>
      </c>
      <c r="G19" s="3"/>
    </row>
    <row r="20" spans="1:7" ht="66" customHeight="1" x14ac:dyDescent="0.25">
      <c r="A20" s="2">
        <v>7</v>
      </c>
      <c r="B20" s="3" t="s">
        <v>114</v>
      </c>
      <c r="C20" s="18" t="s">
        <v>96</v>
      </c>
      <c r="D20" s="3" t="s">
        <v>147</v>
      </c>
      <c r="E20" s="3" t="s">
        <v>148</v>
      </c>
      <c r="F20" s="3" t="s">
        <v>149</v>
      </c>
      <c r="G20" s="3"/>
    </row>
    <row r="21" spans="1:7" ht="51" customHeight="1" x14ac:dyDescent="0.25">
      <c r="A21" s="2">
        <v>8</v>
      </c>
      <c r="B21" s="3" t="s">
        <v>7</v>
      </c>
      <c r="C21" s="19" t="s">
        <v>122</v>
      </c>
      <c r="D21" s="3" t="s">
        <v>150</v>
      </c>
      <c r="E21" s="3" t="s">
        <v>151</v>
      </c>
      <c r="F21" s="3" t="s">
        <v>152</v>
      </c>
      <c r="G21" s="3"/>
    </row>
  </sheetData>
  <mergeCells count="18">
    <mergeCell ref="A4:B4"/>
    <mergeCell ref="C8:G8"/>
    <mergeCell ref="C4:G4"/>
    <mergeCell ref="C7:G7"/>
    <mergeCell ref="A1:G1"/>
    <mergeCell ref="A7:B7"/>
    <mergeCell ref="C6:G6"/>
    <mergeCell ref="A2:G2"/>
    <mergeCell ref="C10:G10"/>
    <mergeCell ref="A11:B11"/>
    <mergeCell ref="A10:B10"/>
    <mergeCell ref="A5:B5"/>
    <mergeCell ref="C11:G11"/>
    <mergeCell ref="C5:G5"/>
    <mergeCell ref="A9:B9"/>
    <mergeCell ref="A8:B8"/>
    <mergeCell ref="C9:G9"/>
    <mergeCell ref="A6:B6"/>
  </mergeCell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20"/>
  <sheetViews>
    <sheetView zoomScale="90" workbookViewId="0">
      <pane ySplit="13" topLeftCell="A14" activePane="bottomLeft" state="frozen"/>
      <selection pane="bottomLeft" sqref="A1:G1"/>
    </sheetView>
  </sheetViews>
  <sheetFormatPr baseColWidth="10" defaultColWidth="9.140625" defaultRowHeight="15" x14ac:dyDescent="0.25"/>
  <cols>
    <col min="1" max="1" width="5" customWidth="1"/>
    <col min="2" max="2" width="16" customWidth="1"/>
    <col min="3" max="3" width="13" customWidth="1"/>
    <col min="4" max="4" width="45" customWidth="1"/>
    <col min="5" max="5" width="60" customWidth="1"/>
    <col min="6" max="6" width="55" customWidth="1"/>
    <col min="7" max="7" width="45" customWidth="1"/>
  </cols>
  <sheetData>
    <row r="1" spans="1:7" ht="27.95" customHeight="1" x14ac:dyDescent="0.25">
      <c r="A1" s="27" t="s">
        <v>240</v>
      </c>
      <c r="B1" s="28"/>
      <c r="C1" s="28"/>
      <c r="D1" s="28"/>
      <c r="E1" s="28"/>
      <c r="F1" s="28"/>
      <c r="G1" s="28"/>
    </row>
    <row r="2" spans="1:7" ht="42" customHeight="1" x14ac:dyDescent="0.25">
      <c r="A2" s="34" t="s">
        <v>233</v>
      </c>
      <c r="B2" s="28"/>
      <c r="C2" s="28"/>
      <c r="D2" s="28"/>
      <c r="E2" s="28"/>
      <c r="F2" s="28"/>
      <c r="G2" s="28"/>
    </row>
    <row r="4" spans="1:7" ht="21" customHeight="1" x14ac:dyDescent="0.25">
      <c r="A4" s="38" t="s">
        <v>3</v>
      </c>
      <c r="B4" s="28"/>
      <c r="C4" s="31" t="s">
        <v>153</v>
      </c>
      <c r="D4" s="28"/>
      <c r="E4" s="28"/>
      <c r="F4" s="28"/>
      <c r="G4" s="28"/>
    </row>
    <row r="5" spans="1:7" ht="21" customHeight="1" x14ac:dyDescent="0.25">
      <c r="A5" s="38" t="s">
        <v>4</v>
      </c>
      <c r="B5" s="28"/>
      <c r="C5" s="31" t="s">
        <v>40</v>
      </c>
      <c r="D5" s="28"/>
      <c r="E5" s="28"/>
      <c r="F5" s="28"/>
      <c r="G5" s="28"/>
    </row>
    <row r="6" spans="1:7" ht="21" customHeight="1" x14ac:dyDescent="0.25">
      <c r="A6" s="38" t="s">
        <v>5</v>
      </c>
      <c r="B6" s="28"/>
      <c r="C6" s="31" t="s">
        <v>41</v>
      </c>
      <c r="D6" s="28"/>
      <c r="E6" s="28"/>
      <c r="F6" s="28"/>
      <c r="G6" s="28"/>
    </row>
    <row r="7" spans="1:7" ht="21" customHeight="1" x14ac:dyDescent="0.25">
      <c r="A7" s="38" t="s">
        <v>6</v>
      </c>
      <c r="B7" s="28"/>
      <c r="C7" s="31" t="s">
        <v>42</v>
      </c>
      <c r="D7" s="28"/>
      <c r="E7" s="28"/>
      <c r="F7" s="28"/>
      <c r="G7" s="28"/>
    </row>
    <row r="8" spans="1:7" ht="21" customHeight="1" x14ac:dyDescent="0.25">
      <c r="A8" s="38" t="s">
        <v>14</v>
      </c>
      <c r="B8" s="28"/>
      <c r="C8" s="41" t="s">
        <v>241</v>
      </c>
      <c r="D8" s="28"/>
      <c r="E8" s="28"/>
      <c r="F8" s="28"/>
      <c r="G8" s="28"/>
    </row>
    <row r="9" spans="1:7" ht="21" customHeight="1" x14ac:dyDescent="0.25">
      <c r="A9" s="38" t="s">
        <v>12</v>
      </c>
      <c r="B9" s="28"/>
      <c r="C9" s="39">
        <f>Resumen!N8</f>
        <v>6.25</v>
      </c>
      <c r="D9" s="28"/>
      <c r="E9" s="28"/>
      <c r="F9" s="28"/>
      <c r="G9" s="28"/>
    </row>
    <row r="10" spans="1:7" ht="21" customHeight="1" x14ac:dyDescent="0.25">
      <c r="A10" s="38" t="s">
        <v>235</v>
      </c>
      <c r="B10" s="28"/>
      <c r="C10" s="31" t="str">
        <f>"Problemática "&amp;FIXED(Resumen!G8,2)&amp;" · Pregunta "&amp;FIXED(Resumen!I8,2)&amp;" · Hipótesis "&amp;FIXED(Resumen!K8,2)&amp;" · Objetivos "&amp;FIXED(Resumen!M8,2)&amp;"  (cada uno sobre 2,5)  ·  Equivalencia Fase 1: "&amp;FIXED(Resumen!O8,2)&amp;" / 0,30"</f>
        <v>Problemática 1.50 · Pregunta 1.25 · Hipótesis 1.50 · Objetivos 2.00  (cada uno sobre 2,5)  ·  Equivalencia Fase 1: 0.19 / 0,30</v>
      </c>
      <c r="D10" s="28"/>
      <c r="E10" s="28"/>
      <c r="F10" s="28"/>
      <c r="G10" s="28"/>
    </row>
    <row r="11" spans="1:7" ht="21" customHeight="1" x14ac:dyDescent="0.25">
      <c r="A11" s="38" t="s">
        <v>16</v>
      </c>
      <c r="B11" s="28"/>
      <c r="C11" s="31" t="s">
        <v>45</v>
      </c>
      <c r="D11" s="28"/>
      <c r="E11" s="28"/>
      <c r="F11" s="28"/>
      <c r="G11" s="28"/>
    </row>
    <row r="13" spans="1:7" ht="32.1" customHeight="1" x14ac:dyDescent="0.25">
      <c r="A13" s="1" t="s">
        <v>74</v>
      </c>
      <c r="B13" s="1" t="s">
        <v>75</v>
      </c>
      <c r="C13" s="1" t="s">
        <v>76</v>
      </c>
      <c r="D13" s="1" t="s">
        <v>77</v>
      </c>
      <c r="E13" s="1" t="s">
        <v>78</v>
      </c>
      <c r="F13" s="1" t="s">
        <v>79</v>
      </c>
      <c r="G13" s="1" t="s">
        <v>80</v>
      </c>
    </row>
    <row r="14" spans="1:7" ht="81" customHeight="1" x14ac:dyDescent="0.25">
      <c r="A14" s="2">
        <v>1</v>
      </c>
      <c r="B14" s="3" t="s">
        <v>130</v>
      </c>
      <c r="C14" s="16" t="s">
        <v>83</v>
      </c>
      <c r="D14" s="3" t="s">
        <v>154</v>
      </c>
      <c r="E14" s="3" t="s">
        <v>155</v>
      </c>
      <c r="F14" s="3" t="s">
        <v>156</v>
      </c>
      <c r="G14" s="3"/>
    </row>
    <row r="15" spans="1:7" ht="96" customHeight="1" x14ac:dyDescent="0.25">
      <c r="A15" s="2">
        <v>2</v>
      </c>
      <c r="B15" s="3" t="s">
        <v>9</v>
      </c>
      <c r="C15" s="16" t="s">
        <v>83</v>
      </c>
      <c r="D15" s="3" t="s">
        <v>157</v>
      </c>
      <c r="E15" s="3" t="s">
        <v>158</v>
      </c>
      <c r="F15" s="3" t="s">
        <v>159</v>
      </c>
      <c r="G15" s="3"/>
    </row>
    <row r="16" spans="1:7" ht="96" customHeight="1" x14ac:dyDescent="0.25">
      <c r="A16" s="2">
        <v>3</v>
      </c>
      <c r="B16" s="3" t="s">
        <v>7</v>
      </c>
      <c r="C16" s="18" t="s">
        <v>96</v>
      </c>
      <c r="D16" s="3" t="s">
        <v>160</v>
      </c>
      <c r="E16" s="3" t="s">
        <v>161</v>
      </c>
      <c r="F16" s="3" t="s">
        <v>162</v>
      </c>
      <c r="G16" s="3"/>
    </row>
    <row r="17" spans="1:7" ht="111" customHeight="1" x14ac:dyDescent="0.25">
      <c r="A17" s="2">
        <v>4</v>
      </c>
      <c r="B17" s="3" t="s">
        <v>10</v>
      </c>
      <c r="C17" s="18" t="s">
        <v>96</v>
      </c>
      <c r="D17" s="3" t="s">
        <v>163</v>
      </c>
      <c r="E17" s="3" t="s">
        <v>164</v>
      </c>
      <c r="F17" s="3" t="s">
        <v>165</v>
      </c>
      <c r="G17" s="3" t="s">
        <v>166</v>
      </c>
    </row>
    <row r="18" spans="1:7" ht="81" customHeight="1" x14ac:dyDescent="0.25">
      <c r="A18" s="2">
        <v>5</v>
      </c>
      <c r="B18" s="3" t="s">
        <v>11</v>
      </c>
      <c r="C18" s="18" t="s">
        <v>96</v>
      </c>
      <c r="D18" s="3" t="s">
        <v>167</v>
      </c>
      <c r="E18" s="3" t="s">
        <v>168</v>
      </c>
      <c r="F18" s="3" t="s">
        <v>169</v>
      </c>
      <c r="G18" s="3"/>
    </row>
    <row r="19" spans="1:7" ht="51" customHeight="1" x14ac:dyDescent="0.25">
      <c r="A19" s="2">
        <v>6</v>
      </c>
      <c r="B19" s="3" t="s">
        <v>11</v>
      </c>
      <c r="C19" s="19" t="s">
        <v>122</v>
      </c>
      <c r="D19" s="3" t="s">
        <v>170</v>
      </c>
      <c r="E19" s="3" t="s">
        <v>171</v>
      </c>
      <c r="F19" s="3" t="s">
        <v>172</v>
      </c>
      <c r="G19" s="3"/>
    </row>
    <row r="20" spans="1:7" ht="66" customHeight="1" x14ac:dyDescent="0.25">
      <c r="A20" s="2">
        <v>7</v>
      </c>
      <c r="B20" s="3" t="s">
        <v>114</v>
      </c>
      <c r="C20" s="19" t="s">
        <v>122</v>
      </c>
      <c r="D20" s="3" t="s">
        <v>173</v>
      </c>
      <c r="E20" s="3" t="s">
        <v>174</v>
      </c>
      <c r="F20" s="3" t="s">
        <v>175</v>
      </c>
      <c r="G20" s="3"/>
    </row>
  </sheetData>
  <mergeCells count="18">
    <mergeCell ref="A4:B4"/>
    <mergeCell ref="C8:G8"/>
    <mergeCell ref="C4:G4"/>
    <mergeCell ref="C7:G7"/>
    <mergeCell ref="A1:G1"/>
    <mergeCell ref="A7:B7"/>
    <mergeCell ref="C6:G6"/>
    <mergeCell ref="A2:G2"/>
    <mergeCell ref="C10:G10"/>
    <mergeCell ref="A11:B11"/>
    <mergeCell ref="A10:B10"/>
    <mergeCell ref="A5:B5"/>
    <mergeCell ref="C11:G11"/>
    <mergeCell ref="C5:G5"/>
    <mergeCell ref="A9:B9"/>
    <mergeCell ref="A8:B8"/>
    <mergeCell ref="C9:G9"/>
    <mergeCell ref="A6:B6"/>
  </mergeCell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21"/>
  <sheetViews>
    <sheetView zoomScale="90" workbookViewId="0">
      <pane ySplit="13" topLeftCell="A14" activePane="bottomLeft" state="frozen"/>
      <selection pane="bottomLeft" sqref="A1:G1"/>
    </sheetView>
  </sheetViews>
  <sheetFormatPr baseColWidth="10" defaultColWidth="9.140625" defaultRowHeight="15" x14ac:dyDescent="0.25"/>
  <cols>
    <col min="1" max="1" width="5" customWidth="1"/>
    <col min="2" max="2" width="16" customWidth="1"/>
    <col min="3" max="3" width="13" customWidth="1"/>
    <col min="4" max="4" width="45" customWidth="1"/>
    <col min="5" max="5" width="60" customWidth="1"/>
    <col min="6" max="6" width="55" customWidth="1"/>
    <col min="7" max="7" width="45" customWidth="1"/>
  </cols>
  <sheetData>
    <row r="1" spans="1:7" ht="27.95" customHeight="1" x14ac:dyDescent="0.25">
      <c r="A1" s="27" t="s">
        <v>242</v>
      </c>
      <c r="B1" s="28"/>
      <c r="C1" s="28"/>
      <c r="D1" s="28"/>
      <c r="E1" s="28"/>
      <c r="F1" s="28"/>
      <c r="G1" s="28"/>
    </row>
    <row r="2" spans="1:7" ht="42" customHeight="1" x14ac:dyDescent="0.25">
      <c r="A2" s="34" t="s">
        <v>233</v>
      </c>
      <c r="B2" s="28"/>
      <c r="C2" s="28"/>
      <c r="D2" s="28"/>
      <c r="E2" s="28"/>
      <c r="F2" s="28"/>
      <c r="G2" s="28"/>
    </row>
    <row r="4" spans="1:7" ht="21" customHeight="1" x14ac:dyDescent="0.25">
      <c r="A4" s="38" t="s">
        <v>3</v>
      </c>
      <c r="B4" s="28"/>
      <c r="C4" s="31" t="s">
        <v>176</v>
      </c>
      <c r="D4" s="28"/>
      <c r="E4" s="28"/>
      <c r="F4" s="28"/>
      <c r="G4" s="28"/>
    </row>
    <row r="5" spans="1:7" ht="21" customHeight="1" x14ac:dyDescent="0.25">
      <c r="A5" s="38" t="s">
        <v>4</v>
      </c>
      <c r="B5" s="28"/>
      <c r="C5" s="31" t="s">
        <v>47</v>
      </c>
      <c r="D5" s="28"/>
      <c r="E5" s="28"/>
      <c r="F5" s="28"/>
      <c r="G5" s="28"/>
    </row>
    <row r="6" spans="1:7" ht="21" customHeight="1" x14ac:dyDescent="0.25">
      <c r="A6" s="38" t="s">
        <v>5</v>
      </c>
      <c r="B6" s="28"/>
      <c r="C6" s="31" t="s">
        <v>48</v>
      </c>
      <c r="D6" s="28"/>
      <c r="E6" s="28"/>
      <c r="F6" s="28"/>
      <c r="G6" s="28"/>
    </row>
    <row r="7" spans="1:7" ht="21" customHeight="1" x14ac:dyDescent="0.25">
      <c r="A7" s="38" t="s">
        <v>6</v>
      </c>
      <c r="B7" s="28"/>
      <c r="C7" s="31" t="s">
        <v>49</v>
      </c>
      <c r="D7" s="28"/>
      <c r="E7" s="28"/>
      <c r="F7" s="28"/>
      <c r="G7" s="28"/>
    </row>
    <row r="8" spans="1:7" ht="21" customHeight="1" x14ac:dyDescent="0.25">
      <c r="A8" s="38" t="s">
        <v>14</v>
      </c>
      <c r="B8" s="28"/>
      <c r="C8" s="41" t="s">
        <v>243</v>
      </c>
      <c r="D8" s="28"/>
      <c r="E8" s="28"/>
      <c r="F8" s="28"/>
      <c r="G8" s="28"/>
    </row>
    <row r="9" spans="1:7" ht="21" customHeight="1" x14ac:dyDescent="0.25">
      <c r="A9" s="38" t="s">
        <v>12</v>
      </c>
      <c r="B9" s="28"/>
      <c r="C9" s="39">
        <f>Resumen!N9</f>
        <v>4.75</v>
      </c>
      <c r="D9" s="28"/>
      <c r="E9" s="28"/>
      <c r="F9" s="28"/>
      <c r="G9" s="28"/>
    </row>
    <row r="10" spans="1:7" ht="21" customHeight="1" x14ac:dyDescent="0.25">
      <c r="A10" s="38" t="s">
        <v>235</v>
      </c>
      <c r="B10" s="28"/>
      <c r="C10" s="31" t="str">
        <f>"Problemática "&amp;FIXED(Resumen!G9,2)&amp;" · Pregunta "&amp;FIXED(Resumen!I9,2)&amp;" · Hipótesis "&amp;FIXED(Resumen!K9,2)&amp;" · Objetivos "&amp;FIXED(Resumen!M9,2)&amp;"  (cada uno sobre 2,5)  ·  Equivalencia Fase 1: "&amp;FIXED(Resumen!O9,2)&amp;" / 0,30"</f>
        <v>Problemática 1.00 · Pregunta 1.50 · Hipótesis 1.00 · Objetivos 1.25  (cada uno sobre 2,5)  ·  Equivalencia Fase 1: 0.14 / 0,30</v>
      </c>
      <c r="D10" s="28"/>
      <c r="E10" s="28"/>
      <c r="F10" s="28"/>
      <c r="G10" s="28"/>
    </row>
    <row r="11" spans="1:7" ht="21" customHeight="1" x14ac:dyDescent="0.25">
      <c r="A11" s="38" t="s">
        <v>16</v>
      </c>
      <c r="B11" s="28"/>
      <c r="C11" s="31" t="s">
        <v>51</v>
      </c>
      <c r="D11" s="28"/>
      <c r="E11" s="28"/>
      <c r="F11" s="28"/>
      <c r="G11" s="28"/>
    </row>
    <row r="13" spans="1:7" ht="32.1" customHeight="1" x14ac:dyDescent="0.25">
      <c r="A13" s="1" t="s">
        <v>74</v>
      </c>
      <c r="B13" s="1" t="s">
        <v>75</v>
      </c>
      <c r="C13" s="1" t="s">
        <v>76</v>
      </c>
      <c r="D13" s="1" t="s">
        <v>77</v>
      </c>
      <c r="E13" s="1" t="s">
        <v>78</v>
      </c>
      <c r="F13" s="1" t="s">
        <v>79</v>
      </c>
      <c r="G13" s="1" t="s">
        <v>80</v>
      </c>
    </row>
    <row r="14" spans="1:7" ht="81" customHeight="1" x14ac:dyDescent="0.25">
      <c r="A14" s="2">
        <v>1</v>
      </c>
      <c r="B14" s="3" t="s">
        <v>10</v>
      </c>
      <c r="C14" s="16" t="s">
        <v>83</v>
      </c>
      <c r="D14" s="3" t="s">
        <v>177</v>
      </c>
      <c r="E14" s="3" t="s">
        <v>178</v>
      </c>
      <c r="F14" s="3" t="s">
        <v>179</v>
      </c>
      <c r="G14" s="3"/>
    </row>
    <row r="15" spans="1:7" ht="96" customHeight="1" x14ac:dyDescent="0.25">
      <c r="A15" s="2">
        <v>2</v>
      </c>
      <c r="B15" s="3" t="s">
        <v>7</v>
      </c>
      <c r="C15" s="18" t="s">
        <v>96</v>
      </c>
      <c r="D15" s="3" t="s">
        <v>180</v>
      </c>
      <c r="E15" s="3" t="s">
        <v>181</v>
      </c>
      <c r="F15" s="3" t="s">
        <v>182</v>
      </c>
      <c r="G15" s="3"/>
    </row>
    <row r="16" spans="1:7" ht="51" customHeight="1" x14ac:dyDescent="0.25">
      <c r="A16" s="2">
        <v>3</v>
      </c>
      <c r="B16" s="3" t="s">
        <v>7</v>
      </c>
      <c r="C16" s="18" t="s">
        <v>96</v>
      </c>
      <c r="D16" s="3" t="s">
        <v>183</v>
      </c>
      <c r="E16" s="3" t="s">
        <v>184</v>
      </c>
      <c r="F16" s="3" t="s">
        <v>185</v>
      </c>
      <c r="G16" s="3"/>
    </row>
    <row r="17" spans="1:7" ht="81" customHeight="1" x14ac:dyDescent="0.25">
      <c r="A17" s="2">
        <v>4</v>
      </c>
      <c r="B17" s="3" t="s">
        <v>9</v>
      </c>
      <c r="C17" s="18" t="s">
        <v>96</v>
      </c>
      <c r="D17" s="3" t="s">
        <v>186</v>
      </c>
      <c r="E17" s="3" t="s">
        <v>187</v>
      </c>
      <c r="F17" s="3" t="s">
        <v>188</v>
      </c>
      <c r="G17" s="3" t="s">
        <v>189</v>
      </c>
    </row>
    <row r="18" spans="1:7" ht="81" customHeight="1" x14ac:dyDescent="0.25">
      <c r="A18" s="2">
        <v>5</v>
      </c>
      <c r="B18" s="3" t="s">
        <v>10</v>
      </c>
      <c r="C18" s="18" t="s">
        <v>96</v>
      </c>
      <c r="D18" s="3" t="s">
        <v>190</v>
      </c>
      <c r="E18" s="3" t="s">
        <v>191</v>
      </c>
      <c r="F18" s="3" t="s">
        <v>192</v>
      </c>
      <c r="G18" s="3"/>
    </row>
    <row r="19" spans="1:7" ht="96" customHeight="1" x14ac:dyDescent="0.25">
      <c r="A19" s="2">
        <v>6</v>
      </c>
      <c r="B19" s="3" t="s">
        <v>11</v>
      </c>
      <c r="C19" s="18" t="s">
        <v>96</v>
      </c>
      <c r="D19" s="3" t="s">
        <v>193</v>
      </c>
      <c r="E19" s="3" t="s">
        <v>194</v>
      </c>
      <c r="F19" s="3" t="s">
        <v>195</v>
      </c>
      <c r="G19" s="3"/>
    </row>
    <row r="20" spans="1:7" ht="51" customHeight="1" x14ac:dyDescent="0.25">
      <c r="A20" s="2">
        <v>7</v>
      </c>
      <c r="B20" s="3" t="s">
        <v>114</v>
      </c>
      <c r="C20" s="18" t="s">
        <v>96</v>
      </c>
      <c r="D20" s="3" t="s">
        <v>196</v>
      </c>
      <c r="E20" s="3" t="s">
        <v>197</v>
      </c>
      <c r="F20" s="3" t="s">
        <v>198</v>
      </c>
      <c r="G20" s="3"/>
    </row>
    <row r="21" spans="1:7" ht="36" customHeight="1" x14ac:dyDescent="0.25">
      <c r="A21" s="2">
        <v>8</v>
      </c>
      <c r="B21" s="3" t="s">
        <v>199</v>
      </c>
      <c r="C21" s="17" t="s">
        <v>88</v>
      </c>
      <c r="D21" s="3" t="s">
        <v>200</v>
      </c>
      <c r="E21" s="3" t="s">
        <v>201</v>
      </c>
      <c r="F21" s="3" t="s">
        <v>202</v>
      </c>
      <c r="G21" s="3"/>
    </row>
  </sheetData>
  <mergeCells count="18">
    <mergeCell ref="A4:B4"/>
    <mergeCell ref="C8:G8"/>
    <mergeCell ref="C4:G4"/>
    <mergeCell ref="C7:G7"/>
    <mergeCell ref="A1:G1"/>
    <mergeCell ref="A7:B7"/>
    <mergeCell ref="C6:G6"/>
    <mergeCell ref="A2:G2"/>
    <mergeCell ref="C10:G10"/>
    <mergeCell ref="A11:B11"/>
    <mergeCell ref="A10:B10"/>
    <mergeCell ref="A5:B5"/>
    <mergeCell ref="C11:G11"/>
    <mergeCell ref="C5:G5"/>
    <mergeCell ref="A9:B9"/>
    <mergeCell ref="A8:B8"/>
    <mergeCell ref="C9:G9"/>
    <mergeCell ref="A6:B6"/>
  </mergeCell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20"/>
  <sheetViews>
    <sheetView zoomScale="90" workbookViewId="0">
      <pane ySplit="13" topLeftCell="A14" activePane="bottomLeft" state="frozen"/>
      <selection pane="bottomLeft" sqref="A1:G1"/>
    </sheetView>
  </sheetViews>
  <sheetFormatPr baseColWidth="10" defaultColWidth="9.140625" defaultRowHeight="15" x14ac:dyDescent="0.25"/>
  <cols>
    <col min="1" max="1" width="5" customWidth="1"/>
    <col min="2" max="2" width="16" customWidth="1"/>
    <col min="3" max="3" width="13" customWidth="1"/>
    <col min="4" max="4" width="45" customWidth="1"/>
    <col min="5" max="5" width="60" customWidth="1"/>
    <col min="6" max="6" width="55" customWidth="1"/>
    <col min="7" max="7" width="45" customWidth="1"/>
  </cols>
  <sheetData>
    <row r="1" spans="1:7" ht="27.95" customHeight="1" x14ac:dyDescent="0.25">
      <c r="A1" s="27" t="s">
        <v>244</v>
      </c>
      <c r="B1" s="28"/>
      <c r="C1" s="28"/>
      <c r="D1" s="28"/>
      <c r="E1" s="28"/>
      <c r="F1" s="28"/>
      <c r="G1" s="28"/>
    </row>
    <row r="2" spans="1:7" ht="42" customHeight="1" x14ac:dyDescent="0.25">
      <c r="A2" s="34" t="s">
        <v>233</v>
      </c>
      <c r="B2" s="28"/>
      <c r="C2" s="28"/>
      <c r="D2" s="28"/>
      <c r="E2" s="28"/>
      <c r="F2" s="28"/>
      <c r="G2" s="28"/>
    </row>
    <row r="4" spans="1:7" ht="21" customHeight="1" x14ac:dyDescent="0.25">
      <c r="A4" s="38" t="s">
        <v>3</v>
      </c>
      <c r="B4" s="28"/>
      <c r="C4" s="31" t="s">
        <v>203</v>
      </c>
      <c r="D4" s="28"/>
      <c r="E4" s="28"/>
      <c r="F4" s="28"/>
      <c r="G4" s="28"/>
    </row>
    <row r="5" spans="1:7" ht="21" customHeight="1" x14ac:dyDescent="0.25">
      <c r="A5" s="38" t="s">
        <v>4</v>
      </c>
      <c r="B5" s="28"/>
      <c r="C5" s="31" t="s">
        <v>53</v>
      </c>
      <c r="D5" s="28"/>
      <c r="E5" s="28"/>
      <c r="F5" s="28"/>
      <c r="G5" s="28"/>
    </row>
    <row r="6" spans="1:7" ht="21" customHeight="1" x14ac:dyDescent="0.25">
      <c r="A6" s="38" t="s">
        <v>5</v>
      </c>
      <c r="B6" s="28"/>
      <c r="C6" s="31" t="s">
        <v>54</v>
      </c>
      <c r="D6" s="28"/>
      <c r="E6" s="28"/>
      <c r="F6" s="28"/>
      <c r="G6" s="28"/>
    </row>
    <row r="7" spans="1:7" ht="21" customHeight="1" x14ac:dyDescent="0.25">
      <c r="A7" s="38" t="s">
        <v>6</v>
      </c>
      <c r="B7" s="28"/>
      <c r="C7" s="31" t="s">
        <v>55</v>
      </c>
      <c r="D7" s="28"/>
      <c r="E7" s="28"/>
      <c r="F7" s="28"/>
      <c r="G7" s="28"/>
    </row>
    <row r="8" spans="1:7" ht="21" customHeight="1" x14ac:dyDescent="0.25">
      <c r="A8" s="38" t="s">
        <v>14</v>
      </c>
      <c r="B8" s="28"/>
      <c r="C8" s="42" t="s">
        <v>245</v>
      </c>
      <c r="D8" s="28"/>
      <c r="E8" s="28"/>
      <c r="F8" s="28"/>
      <c r="G8" s="28"/>
    </row>
    <row r="9" spans="1:7" ht="21" customHeight="1" x14ac:dyDescent="0.25">
      <c r="A9" s="38" t="s">
        <v>12</v>
      </c>
      <c r="B9" s="28"/>
      <c r="C9" s="39">
        <f>Resumen!N10</f>
        <v>2</v>
      </c>
      <c r="D9" s="28"/>
      <c r="E9" s="28"/>
      <c r="F9" s="28"/>
      <c r="G9" s="28"/>
    </row>
    <row r="10" spans="1:7" ht="21" customHeight="1" x14ac:dyDescent="0.25">
      <c r="A10" s="38" t="s">
        <v>235</v>
      </c>
      <c r="B10" s="28"/>
      <c r="C10" s="31" t="str">
        <f>"Problemática "&amp;FIXED(Resumen!G10,2)&amp;" · Pregunta "&amp;FIXED(Resumen!I10,2)&amp;" · Hipótesis "&amp;FIXED(Resumen!K10,2)&amp;" · Objetivos "&amp;FIXED(Resumen!M10,2)&amp;"  (cada uno sobre 2,5)  ·  Equivalencia Fase 1: "&amp;FIXED(Resumen!O10,2)&amp;" / 0,30"</f>
        <v>Problemática 0.50 · Pregunta 1.50 · Hipótesis 0.00 · Objetivos 0.00  (cada uno sobre 2,5)  ·  Equivalencia Fase 1: 0.06 / 0,30</v>
      </c>
      <c r="D10" s="28"/>
      <c r="E10" s="28"/>
      <c r="F10" s="28"/>
      <c r="G10" s="28"/>
    </row>
    <row r="11" spans="1:7" ht="21" customHeight="1" x14ac:dyDescent="0.25">
      <c r="A11" s="38" t="s">
        <v>16</v>
      </c>
      <c r="B11" s="28"/>
      <c r="C11" s="31" t="s">
        <v>58</v>
      </c>
      <c r="D11" s="28"/>
      <c r="E11" s="28"/>
      <c r="F11" s="28"/>
      <c r="G11" s="28"/>
    </row>
    <row r="13" spans="1:7" ht="32.1" customHeight="1" x14ac:dyDescent="0.25">
      <c r="A13" s="1" t="s">
        <v>74</v>
      </c>
      <c r="B13" s="1" t="s">
        <v>75</v>
      </c>
      <c r="C13" s="1" t="s">
        <v>76</v>
      </c>
      <c r="D13" s="1" t="s">
        <v>77</v>
      </c>
      <c r="E13" s="1" t="s">
        <v>78</v>
      </c>
      <c r="F13" s="1" t="s">
        <v>79</v>
      </c>
      <c r="G13" s="1" t="s">
        <v>80</v>
      </c>
    </row>
    <row r="14" spans="1:7" ht="81" customHeight="1" x14ac:dyDescent="0.25">
      <c r="A14" s="2">
        <v>1</v>
      </c>
      <c r="B14" s="3" t="s">
        <v>204</v>
      </c>
      <c r="C14" s="16" t="s">
        <v>83</v>
      </c>
      <c r="D14" s="3" t="s">
        <v>205</v>
      </c>
      <c r="E14" s="3" t="s">
        <v>206</v>
      </c>
      <c r="F14" s="3" t="s">
        <v>207</v>
      </c>
      <c r="G14" s="3"/>
    </row>
    <row r="15" spans="1:7" ht="66" customHeight="1" x14ac:dyDescent="0.25">
      <c r="A15" s="2">
        <v>2</v>
      </c>
      <c r="B15" s="3" t="s">
        <v>7</v>
      </c>
      <c r="C15" s="16" t="s">
        <v>83</v>
      </c>
      <c r="D15" s="3" t="s">
        <v>208</v>
      </c>
      <c r="E15" s="3" t="s">
        <v>209</v>
      </c>
      <c r="F15" s="3" t="s">
        <v>210</v>
      </c>
      <c r="G15" s="3"/>
    </row>
    <row r="16" spans="1:7" ht="81" customHeight="1" x14ac:dyDescent="0.25">
      <c r="A16" s="2">
        <v>3</v>
      </c>
      <c r="B16" s="3" t="s">
        <v>10</v>
      </c>
      <c r="C16" s="16" t="s">
        <v>83</v>
      </c>
      <c r="D16" s="3" t="s">
        <v>211</v>
      </c>
      <c r="E16" s="3" t="s">
        <v>212</v>
      </c>
      <c r="F16" s="3" t="s">
        <v>213</v>
      </c>
      <c r="G16" s="3"/>
    </row>
    <row r="17" spans="1:7" ht="81" customHeight="1" x14ac:dyDescent="0.25">
      <c r="A17" s="2">
        <v>4</v>
      </c>
      <c r="B17" s="3" t="s">
        <v>11</v>
      </c>
      <c r="C17" s="16" t="s">
        <v>83</v>
      </c>
      <c r="D17" s="3" t="s">
        <v>214</v>
      </c>
      <c r="E17" s="3" t="s">
        <v>215</v>
      </c>
      <c r="F17" s="3" t="s">
        <v>216</v>
      </c>
      <c r="G17" s="3"/>
    </row>
    <row r="18" spans="1:7" ht="96" customHeight="1" x14ac:dyDescent="0.25">
      <c r="A18" s="2">
        <v>5</v>
      </c>
      <c r="B18" s="3" t="s">
        <v>9</v>
      </c>
      <c r="C18" s="18" t="s">
        <v>96</v>
      </c>
      <c r="D18" s="3" t="s">
        <v>217</v>
      </c>
      <c r="E18" s="3" t="s">
        <v>218</v>
      </c>
      <c r="F18" s="3" t="s">
        <v>219</v>
      </c>
      <c r="G18" s="3" t="s">
        <v>220</v>
      </c>
    </row>
    <row r="19" spans="1:7" ht="111" customHeight="1" x14ac:dyDescent="0.25">
      <c r="A19" s="2">
        <v>6</v>
      </c>
      <c r="B19" s="3" t="s">
        <v>221</v>
      </c>
      <c r="C19" s="18" t="s">
        <v>96</v>
      </c>
      <c r="D19" s="3" t="s">
        <v>222</v>
      </c>
      <c r="E19" s="3" t="s">
        <v>223</v>
      </c>
      <c r="F19" s="3" t="s">
        <v>224</v>
      </c>
      <c r="G19" s="3"/>
    </row>
    <row r="20" spans="1:7" ht="66" customHeight="1" x14ac:dyDescent="0.25">
      <c r="A20" s="2">
        <v>7</v>
      </c>
      <c r="B20" s="3" t="s">
        <v>225</v>
      </c>
      <c r="C20" s="19" t="s">
        <v>122</v>
      </c>
      <c r="D20" s="3" t="s">
        <v>226</v>
      </c>
      <c r="E20" s="3" t="s">
        <v>227</v>
      </c>
      <c r="F20" s="3" t="s">
        <v>228</v>
      </c>
      <c r="G20" s="3"/>
    </row>
  </sheetData>
  <mergeCells count="18">
    <mergeCell ref="A4:B4"/>
    <mergeCell ref="C8:G8"/>
    <mergeCell ref="C4:G4"/>
    <mergeCell ref="C7:G7"/>
    <mergeCell ref="A1:G1"/>
    <mergeCell ref="A7:B7"/>
    <mergeCell ref="C6:G6"/>
    <mergeCell ref="A2:G2"/>
    <mergeCell ref="C10:G10"/>
    <mergeCell ref="A11:B11"/>
    <mergeCell ref="A10:B10"/>
    <mergeCell ref="A5:B5"/>
    <mergeCell ref="C11:G11"/>
    <mergeCell ref="C5:G5"/>
    <mergeCell ref="A9:B9"/>
    <mergeCell ref="A8:B8"/>
    <mergeCell ref="C9:G9"/>
    <mergeCell ref="A6:B6"/>
  </mergeCells>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5"/>
  <sheetViews>
    <sheetView zoomScale="90" workbookViewId="0">
      <pane ySplit="13" topLeftCell="A14" activePane="bottomLeft" state="frozen"/>
      <selection pane="bottomLeft" sqref="A1:G1"/>
    </sheetView>
  </sheetViews>
  <sheetFormatPr baseColWidth="10" defaultColWidth="9.140625" defaultRowHeight="15" x14ac:dyDescent="0.25"/>
  <cols>
    <col min="1" max="1" width="5" customWidth="1"/>
    <col min="2" max="2" width="16" customWidth="1"/>
    <col min="3" max="3" width="13" customWidth="1"/>
    <col min="4" max="4" width="45" customWidth="1"/>
    <col min="5" max="5" width="60" customWidth="1"/>
    <col min="6" max="6" width="55" customWidth="1"/>
    <col min="7" max="7" width="45" customWidth="1"/>
  </cols>
  <sheetData>
    <row r="1" spans="1:7" ht="27.95" customHeight="1" x14ac:dyDescent="0.25">
      <c r="A1" s="27" t="s">
        <v>246</v>
      </c>
      <c r="B1" s="28"/>
      <c r="C1" s="28"/>
      <c r="D1" s="28"/>
      <c r="E1" s="28"/>
      <c r="F1" s="28"/>
      <c r="G1" s="28"/>
    </row>
    <row r="2" spans="1:7" ht="42" customHeight="1" x14ac:dyDescent="0.25">
      <c r="A2" s="34" t="s">
        <v>233</v>
      </c>
      <c r="B2" s="28"/>
      <c r="C2" s="28"/>
      <c r="D2" s="28"/>
      <c r="E2" s="28"/>
      <c r="F2" s="28"/>
      <c r="G2" s="28"/>
    </row>
    <row r="4" spans="1:7" ht="21" customHeight="1" x14ac:dyDescent="0.25">
      <c r="A4" s="38" t="s">
        <v>3</v>
      </c>
      <c r="B4" s="28"/>
      <c r="C4" s="31" t="s">
        <v>229</v>
      </c>
      <c r="D4" s="28"/>
      <c r="E4" s="28"/>
      <c r="F4" s="28"/>
      <c r="G4" s="28"/>
    </row>
    <row r="5" spans="1:7" ht="21" customHeight="1" x14ac:dyDescent="0.25">
      <c r="A5" s="38" t="s">
        <v>4</v>
      </c>
      <c r="B5" s="28"/>
      <c r="C5" s="31" t="s">
        <v>60</v>
      </c>
      <c r="D5" s="28"/>
      <c r="E5" s="28"/>
      <c r="F5" s="28"/>
      <c r="G5" s="28"/>
    </row>
    <row r="6" spans="1:7" ht="21" customHeight="1" x14ac:dyDescent="0.25">
      <c r="A6" s="38" t="s">
        <v>5</v>
      </c>
      <c r="B6" s="28"/>
      <c r="C6" s="31" t="s">
        <v>19</v>
      </c>
      <c r="D6" s="28"/>
      <c r="E6" s="28"/>
      <c r="F6" s="28"/>
      <c r="G6" s="28"/>
    </row>
    <row r="7" spans="1:7" ht="21" customHeight="1" x14ac:dyDescent="0.25">
      <c r="A7" s="38" t="s">
        <v>6</v>
      </c>
      <c r="B7" s="28"/>
      <c r="C7" s="31" t="s">
        <v>20</v>
      </c>
      <c r="D7" s="28"/>
      <c r="E7" s="28"/>
      <c r="F7" s="28"/>
      <c r="G7" s="28"/>
    </row>
    <row r="8" spans="1:7" ht="21" customHeight="1" x14ac:dyDescent="0.25">
      <c r="A8" s="38" t="s">
        <v>14</v>
      </c>
      <c r="B8" s="28"/>
      <c r="C8" s="40" t="s">
        <v>234</v>
      </c>
      <c r="D8" s="28"/>
      <c r="E8" s="28"/>
      <c r="F8" s="28"/>
      <c r="G8" s="28"/>
    </row>
    <row r="9" spans="1:7" ht="21" customHeight="1" x14ac:dyDescent="0.25">
      <c r="A9" s="38" t="s">
        <v>12</v>
      </c>
      <c r="B9" s="28"/>
      <c r="C9" s="39">
        <f>Resumen!N11</f>
        <v>0</v>
      </c>
      <c r="D9" s="28"/>
      <c r="E9" s="28"/>
      <c r="F9" s="28"/>
      <c r="G9" s="28"/>
    </row>
    <row r="10" spans="1:7" ht="21" customHeight="1" x14ac:dyDescent="0.25">
      <c r="A10" s="38" t="s">
        <v>235</v>
      </c>
      <c r="B10" s="28"/>
      <c r="C10" s="31" t="str">
        <f>"Problemática "&amp;FIXED(Resumen!G11,2)&amp;" · Pregunta "&amp;FIXED(Resumen!I11,2)&amp;" · Hipótesis "&amp;FIXED(Resumen!K11,2)&amp;" · Objetivos "&amp;FIXED(Resumen!M11,2)&amp;"  (cada uno sobre 2,5)  ·  Equivalencia Fase 1: "&amp;FIXED(Resumen!O11,2)&amp;" / 0,30"</f>
        <v>Problemática 0.00 · Pregunta 0.00 · Hipótesis 0.00 · Objetivos 0.00  (cada uno sobre 2,5)  ·  Equivalencia Fase 1: 0.00 / 0,30</v>
      </c>
      <c r="D10" s="28"/>
      <c r="E10" s="28"/>
      <c r="F10" s="28"/>
      <c r="G10" s="28"/>
    </row>
    <row r="11" spans="1:7" ht="21" customHeight="1" x14ac:dyDescent="0.25">
      <c r="A11" s="38" t="s">
        <v>16</v>
      </c>
      <c r="B11" s="28"/>
      <c r="C11" s="31" t="s">
        <v>24</v>
      </c>
      <c r="D11" s="28"/>
      <c r="E11" s="28"/>
      <c r="F11" s="28"/>
      <c r="G11" s="28"/>
    </row>
    <row r="13" spans="1:7" ht="32.1" customHeight="1" x14ac:dyDescent="0.25">
      <c r="A13" s="1" t="s">
        <v>74</v>
      </c>
      <c r="B13" s="1" t="s">
        <v>75</v>
      </c>
      <c r="C13" s="1" t="s">
        <v>76</v>
      </c>
      <c r="D13" s="1" t="s">
        <v>77</v>
      </c>
      <c r="E13" s="1" t="s">
        <v>78</v>
      </c>
      <c r="F13" s="1" t="s">
        <v>79</v>
      </c>
      <c r="G13" s="1" t="s">
        <v>80</v>
      </c>
    </row>
    <row r="14" spans="1:7" ht="81" customHeight="1" x14ac:dyDescent="0.25">
      <c r="A14" s="2">
        <v>1</v>
      </c>
      <c r="B14" s="3" t="s">
        <v>82</v>
      </c>
      <c r="C14" s="16" t="s">
        <v>83</v>
      </c>
      <c r="D14" s="3" t="s">
        <v>84</v>
      </c>
      <c r="E14" s="3" t="s">
        <v>85</v>
      </c>
      <c r="F14" s="3" t="s">
        <v>86</v>
      </c>
      <c r="G14" s="3"/>
    </row>
    <row r="15" spans="1:7" ht="66" customHeight="1" x14ac:dyDescent="0.25">
      <c r="A15" s="2">
        <v>2</v>
      </c>
      <c r="B15" s="3" t="s">
        <v>87</v>
      </c>
      <c r="C15" s="17" t="s">
        <v>88</v>
      </c>
      <c r="D15" s="3" t="s">
        <v>230</v>
      </c>
      <c r="E15" s="3" t="s">
        <v>19</v>
      </c>
      <c r="F15" s="3" t="s">
        <v>231</v>
      </c>
      <c r="G15" s="3"/>
    </row>
  </sheetData>
  <mergeCells count="18">
    <mergeCell ref="A4:B4"/>
    <mergeCell ref="C8:G8"/>
    <mergeCell ref="C4:G4"/>
    <mergeCell ref="C7:G7"/>
    <mergeCell ref="A1:G1"/>
    <mergeCell ref="A7:B7"/>
    <mergeCell ref="C6:G6"/>
    <mergeCell ref="A2:G2"/>
    <mergeCell ref="C10:G10"/>
    <mergeCell ref="A11:B11"/>
    <mergeCell ref="A10:B10"/>
    <mergeCell ref="A5:B5"/>
    <mergeCell ref="C11:G11"/>
    <mergeCell ref="C5:G5"/>
    <mergeCell ref="A9:B9"/>
    <mergeCell ref="A8:B8"/>
    <mergeCell ref="C9:G9"/>
    <mergeCell ref="A6:B6"/>
  </mergeCells>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21"/>
  <sheetViews>
    <sheetView tabSelected="1" zoomScale="90" workbookViewId="0">
      <selection sqref="A1:C1"/>
    </sheetView>
  </sheetViews>
  <sheetFormatPr baseColWidth="10" defaultColWidth="9.140625" defaultRowHeight="15" x14ac:dyDescent="0.25"/>
  <cols>
    <col min="1" max="1" width="24" customWidth="1"/>
    <col min="2" max="3" width="70" customWidth="1"/>
  </cols>
  <sheetData>
    <row r="1" spans="1:3" ht="27.95" customHeight="1" x14ac:dyDescent="0.25">
      <c r="A1" s="27" t="s">
        <v>247</v>
      </c>
      <c r="B1" s="28"/>
      <c r="C1" s="28"/>
    </row>
    <row r="2" spans="1:3" ht="42" customHeight="1" x14ac:dyDescent="0.25">
      <c r="A2" s="34" t="s">
        <v>248</v>
      </c>
      <c r="B2" s="28"/>
      <c r="C2" s="28"/>
    </row>
    <row r="4" spans="1:3" ht="32.1" customHeight="1" x14ac:dyDescent="0.25">
      <c r="A4" s="1" t="s">
        <v>249</v>
      </c>
      <c r="B4" s="1" t="s">
        <v>250</v>
      </c>
      <c r="C4" s="1" t="s">
        <v>251</v>
      </c>
    </row>
    <row r="5" spans="1:3" ht="66" customHeight="1" x14ac:dyDescent="0.25">
      <c r="A5" s="21" t="s">
        <v>7</v>
      </c>
      <c r="B5" s="3" t="s">
        <v>252</v>
      </c>
      <c r="C5" s="3" t="s">
        <v>253</v>
      </c>
    </row>
    <row r="6" spans="1:3" ht="51" customHeight="1" x14ac:dyDescent="0.25">
      <c r="A6" s="21" t="s">
        <v>9</v>
      </c>
      <c r="B6" s="3" t="s">
        <v>254</v>
      </c>
      <c r="C6" s="3" t="s">
        <v>255</v>
      </c>
    </row>
    <row r="7" spans="1:3" ht="51" customHeight="1" x14ac:dyDescent="0.25">
      <c r="A7" s="21" t="s">
        <v>10</v>
      </c>
      <c r="B7" s="3" t="s">
        <v>256</v>
      </c>
      <c r="C7" s="3" t="s">
        <v>257</v>
      </c>
    </row>
    <row r="8" spans="1:3" ht="51" customHeight="1" x14ac:dyDescent="0.25">
      <c r="A8" s="21" t="s">
        <v>11</v>
      </c>
      <c r="B8" s="3" t="s">
        <v>258</v>
      </c>
      <c r="C8" s="3" t="s">
        <v>259</v>
      </c>
    </row>
    <row r="9" spans="1:3" ht="36" customHeight="1" x14ac:dyDescent="0.25">
      <c r="A9" s="22" t="s">
        <v>83</v>
      </c>
      <c r="B9" s="3" t="s">
        <v>260</v>
      </c>
      <c r="C9" s="3" t="s">
        <v>261</v>
      </c>
    </row>
    <row r="10" spans="1:3" ht="36" customHeight="1" x14ac:dyDescent="0.25">
      <c r="A10" s="23" t="s">
        <v>96</v>
      </c>
      <c r="B10" s="3" t="s">
        <v>262</v>
      </c>
      <c r="C10" s="3" t="s">
        <v>263</v>
      </c>
    </row>
    <row r="11" spans="1:3" ht="21" customHeight="1" x14ac:dyDescent="0.25">
      <c r="A11" s="24" t="s">
        <v>122</v>
      </c>
      <c r="B11" s="3" t="s">
        <v>264</v>
      </c>
      <c r="C11" s="3" t="s">
        <v>265</v>
      </c>
    </row>
    <row r="12" spans="1:3" ht="21" customHeight="1" x14ac:dyDescent="0.25">
      <c r="A12" s="20" t="s">
        <v>88</v>
      </c>
      <c r="B12" s="3" t="s">
        <v>266</v>
      </c>
      <c r="C12" s="3" t="s">
        <v>267</v>
      </c>
    </row>
    <row r="14" spans="1:3" ht="15.75" x14ac:dyDescent="0.25">
      <c r="A14" s="25" t="s">
        <v>268</v>
      </c>
    </row>
    <row r="15" spans="1:3" ht="32.1" customHeight="1" x14ac:dyDescent="0.25">
      <c r="A15" s="1" t="s">
        <v>269</v>
      </c>
      <c r="B15" s="1" t="s">
        <v>270</v>
      </c>
      <c r="C15" s="1" t="s">
        <v>271</v>
      </c>
    </row>
    <row r="16" spans="1:3" ht="36" customHeight="1" x14ac:dyDescent="0.25">
      <c r="A16" s="2" t="s">
        <v>272</v>
      </c>
      <c r="B16" s="3" t="s">
        <v>273</v>
      </c>
      <c r="C16" s="26" t="s">
        <v>63</v>
      </c>
    </row>
    <row r="17" spans="1:3" ht="36" customHeight="1" x14ac:dyDescent="0.25">
      <c r="A17" s="2" t="s">
        <v>274</v>
      </c>
      <c r="B17" s="3" t="s">
        <v>275</v>
      </c>
      <c r="C17" s="12" t="s">
        <v>43</v>
      </c>
    </row>
    <row r="18" spans="1:3" ht="36" customHeight="1" x14ac:dyDescent="0.25">
      <c r="A18" s="2" t="s">
        <v>276</v>
      </c>
      <c r="B18" s="3" t="s">
        <v>277</v>
      </c>
      <c r="C18" s="9" t="s">
        <v>29</v>
      </c>
    </row>
    <row r="19" spans="1:3" ht="36" customHeight="1" x14ac:dyDescent="0.25">
      <c r="A19" s="2" t="s">
        <v>278</v>
      </c>
      <c r="B19" s="3" t="s">
        <v>279</v>
      </c>
      <c r="C19" s="10" t="s">
        <v>30</v>
      </c>
    </row>
    <row r="20" spans="1:3" ht="21" customHeight="1" x14ac:dyDescent="0.25">
      <c r="A20" s="2" t="s">
        <v>280</v>
      </c>
      <c r="B20" s="3" t="s">
        <v>281</v>
      </c>
      <c r="C20" s="2" t="s">
        <v>282</v>
      </c>
    </row>
    <row r="21" spans="1:3" ht="21" customHeight="1" x14ac:dyDescent="0.25">
      <c r="A21" s="2" t="s">
        <v>283</v>
      </c>
      <c r="B21" s="3" t="s">
        <v>284</v>
      </c>
      <c r="C21" s="4" t="s">
        <v>21</v>
      </c>
    </row>
  </sheetData>
  <mergeCells count="2">
    <mergeCell ref="A1:C1"/>
    <mergeCell ref="A2:C2"/>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Resumen</vt:lpstr>
      <vt:lpstr>Matriz consolidada</vt:lpstr>
      <vt:lpstr>Grupo 1</vt:lpstr>
      <vt:lpstr>Grupo 2</vt:lpstr>
      <vt:lpstr>Grupo 3</vt:lpstr>
      <vt:lpstr>Grupo 4</vt:lpstr>
      <vt:lpstr>Grupo 5</vt:lpstr>
      <vt:lpstr>Grupo 6</vt:lpstr>
      <vt:lpstr>Grupo 7</vt:lpstr>
      <vt:lpstr>Criterios de revisión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Guillermo Chuncho</cp:lastModifiedBy>
  <dcterms:created xsi:type="dcterms:W3CDTF">2026-10-16T17:43:46Z</dcterms:created>
  <dcterms:modified xsi:type="dcterms:W3CDTF">2026-10-16T19:19:05Z</dcterms:modified>
</cp:coreProperties>
</file>